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4dc9f8cccea0642b/Documents/"/>
    </mc:Choice>
  </mc:AlternateContent>
  <xr:revisionPtr revIDLastSave="14" documentId="8_{62BB8AE5-0A50-4992-BA2B-558C95E17973}" xr6:coauthVersionLast="47" xr6:coauthVersionMax="47" xr10:uidLastSave="{3C3DC1B9-8249-4F4D-AEC2-A20B5904EE0F}"/>
  <bookViews>
    <workbookView xWindow="-108" yWindow="-108" windowWidth="23256" windowHeight="12456" firstSheet="2" activeTab="5" xr2:uid="{00000000-000D-0000-FFFF-FFFF00000000}"/>
  </bookViews>
  <sheets>
    <sheet name="Dataset" sheetId="1" r:id="rId1"/>
    <sheet name="SUM, COUNT&amp; AVG." sheetId="2" r:id="rId2"/>
    <sheet name="MIN, MAX" sheetId="3" r:id="rId3"/>
    <sheet name="IF() Function" sheetId="4" r:id="rId4"/>
    <sheet name="SUMIF() &amp; COUNTIF()" sheetId="5" r:id="rId5"/>
    <sheet name="LEFT, RIGHT, MID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5" i="6" l="1"/>
  <c r="K35" i="6"/>
  <c r="I35" i="6"/>
  <c r="M34" i="6"/>
  <c r="K34" i="6"/>
  <c r="I34" i="6"/>
  <c r="M33" i="6"/>
  <c r="K33" i="6"/>
  <c r="I33" i="6"/>
  <c r="M32" i="6"/>
  <c r="K32" i="6"/>
  <c r="I32" i="6"/>
  <c r="M31" i="6"/>
  <c r="K31" i="6"/>
  <c r="I31" i="6"/>
  <c r="M30" i="6"/>
  <c r="K30" i="6"/>
  <c r="I30" i="6"/>
  <c r="M29" i="6"/>
  <c r="K29" i="6"/>
  <c r="I29" i="6"/>
  <c r="M28" i="6"/>
  <c r="K28" i="6"/>
  <c r="I28" i="6"/>
  <c r="M27" i="6"/>
  <c r="K27" i="6"/>
  <c r="I27" i="6"/>
  <c r="M26" i="6"/>
  <c r="K26" i="6"/>
  <c r="I26" i="6"/>
  <c r="M25" i="6"/>
  <c r="K25" i="6"/>
  <c r="I25" i="6"/>
  <c r="M24" i="6"/>
  <c r="K24" i="6"/>
  <c r="I24" i="6"/>
  <c r="M23" i="6"/>
  <c r="K23" i="6"/>
  <c r="I23" i="6"/>
  <c r="M22" i="6"/>
  <c r="K22" i="6"/>
  <c r="I22" i="6"/>
  <c r="M21" i="6"/>
  <c r="K21" i="6"/>
  <c r="I21" i="6"/>
  <c r="M20" i="6"/>
  <c r="K20" i="6"/>
  <c r="I20" i="6"/>
  <c r="M19" i="6"/>
  <c r="K19" i="6"/>
  <c r="I19" i="6"/>
  <c r="M18" i="6"/>
  <c r="K18" i="6"/>
  <c r="I18" i="6"/>
  <c r="M17" i="6"/>
  <c r="K17" i="6"/>
  <c r="I17" i="6"/>
  <c r="M16" i="6"/>
  <c r="K16" i="6"/>
  <c r="I16" i="6"/>
  <c r="M15" i="6"/>
  <c r="K15" i="6"/>
  <c r="I15" i="6"/>
  <c r="M14" i="6"/>
  <c r="K14" i="6"/>
  <c r="I14" i="6"/>
  <c r="M13" i="6"/>
  <c r="K13" i="6"/>
  <c r="I13" i="6"/>
  <c r="M12" i="6"/>
  <c r="K12" i="6"/>
  <c r="I12" i="6"/>
  <c r="M11" i="6"/>
  <c r="K11" i="6"/>
  <c r="I11" i="6"/>
  <c r="M10" i="6"/>
  <c r="K10" i="6"/>
  <c r="I10" i="6"/>
  <c r="M9" i="6"/>
  <c r="K9" i="6"/>
  <c r="I9" i="6"/>
  <c r="M8" i="6"/>
  <c r="K8" i="6"/>
  <c r="I8" i="6"/>
  <c r="M7" i="6"/>
  <c r="K7" i="6"/>
  <c r="I7" i="6"/>
  <c r="M6" i="6"/>
  <c r="K6" i="6"/>
  <c r="I6" i="6"/>
  <c r="M5" i="6"/>
  <c r="K5" i="6"/>
  <c r="I5" i="6"/>
  <c r="M4" i="6"/>
  <c r="K4" i="6"/>
  <c r="I4" i="6"/>
  <c r="M3" i="6"/>
  <c r="K3" i="6"/>
  <c r="I3" i="6"/>
  <c r="M2" i="6"/>
  <c r="K2" i="6"/>
  <c r="I2" i="6"/>
  <c r="K2" i="5"/>
  <c r="I2" i="5"/>
  <c r="I35" i="4"/>
  <c r="I34" i="4"/>
  <c r="I33" i="4"/>
  <c r="I32" i="4"/>
  <c r="I31" i="4"/>
  <c r="I30" i="4"/>
  <c r="I29" i="4"/>
  <c r="I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I4" i="4"/>
  <c r="I3" i="4"/>
  <c r="I2" i="4"/>
  <c r="M36" i="3"/>
  <c r="I36" i="3"/>
  <c r="O36" i="2"/>
  <c r="L36" i="2"/>
  <c r="I36" i="2"/>
</calcChain>
</file>

<file path=xl/sharedStrings.xml><?xml version="1.0" encoding="utf-8"?>
<sst xmlns="http://schemas.openxmlformats.org/spreadsheetml/2006/main" count="919" uniqueCount="123">
  <si>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</si>
  <si>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</si>
  <si>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</si>
  <si>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</si>
  <si>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</si>
  <si>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</si>
  <si>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</si>
  <si>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</si>
  <si>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</si>
  <si>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</si>
  <si>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</si>
  <si>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</si>
  <si>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</si>
  <si>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</si>
  <si>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</si>
  <si>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</si>
  <si>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</si>
  <si>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</si>
  <si>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</si>
  <si>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</si>
  <si>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</si>
  <si>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</si>
  <si>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</si>
  <si>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</si>
  <si>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</si>
  <si>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</si>
  <si>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</si>
  <si>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</si>
  <si>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</si>
  <si>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</si>
  <si>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</si>
  <si>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</si>
  <si>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</si>
  <si>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</si>
  <si>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</si>
  <si>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</si>
  <si>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</si>
  <si>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</si>
  <si>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</si>
  <si>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</si>
  <si>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</si>
  <si>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</si>
  <si>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</si>
  <si>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</si>
  <si>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</si>
  <si>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</si>
  <si>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</si>
  <si>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</si>
  <si>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</si>
  <si>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</si>
  <si>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</si>
  <si>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</si>
  <si>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</si>
  <si>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</si>
  <si>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</si>
  <si>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</si>
  <si>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</si>
  <si>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</si>
  <si>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</si>
  <si>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</si>
  <si>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</si>
  <si>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</si>
  <si>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</si>
  <si>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</si>
  <si>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</si>
  <si>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</si>
  <si>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</si>
  <si>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</si>
  <si>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</si>
  <si>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</si>
  <si>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</si>
  <si>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</si>
  <si>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</si>
  <si>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</si>
  <si>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</si>
  <si>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</si>
  <si>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</si>
  <si>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</si>
  <si>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</si>
  <si>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</si>
  <si>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</si>
  <si>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</si>
  <si>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</si>
  <si>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</si>
  <si>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</si>
  <si>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</si>
  <si>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</si>
  <si>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</si>
  <si>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</si>
  <si>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</si>
  <si>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</si>
  <si>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</si>
  <si>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</si>
  <si>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Sum of products</t>
  </si>
  <si>
    <t>No of products</t>
  </si>
  <si>
    <t>Average of prices</t>
  </si>
  <si>
    <t>SUM</t>
  </si>
  <si>
    <t>Count</t>
  </si>
  <si>
    <t>Average</t>
  </si>
  <si>
    <t>Observations</t>
  </si>
  <si>
    <t>1. Have calculated total price of all products using SUM() and updated answer in cell I36</t>
  </si>
  <si>
    <t>2. Have determined no of products using COUNTA() and updated answer in cell L36</t>
  </si>
  <si>
    <t>Minimum price among all product</t>
  </si>
  <si>
    <t>Maximum price among all product</t>
  </si>
  <si>
    <t>MIN()</t>
  </si>
  <si>
    <t>MAX()</t>
  </si>
  <si>
    <t>1. Have identified minimum price among products using MIN() and updated answers in cell I36</t>
  </si>
  <si>
    <t>Price Range</t>
  </si>
  <si>
    <t>2. Have used nested IF to determine the price category in single column</t>
  </si>
  <si>
    <t>Total price of electronics category</t>
  </si>
  <si>
    <t>number of products with a price Less than $100</t>
  </si>
  <si>
    <t>Observation</t>
  </si>
  <si>
    <t>Day</t>
  </si>
  <si>
    <t>Country Code</t>
  </si>
  <si>
    <t>Month</t>
  </si>
  <si>
    <t>2. Have applied right() to determine first 2 characters from right side in product ID in cell K2</t>
  </si>
  <si>
    <t>3. Have appplied MID() to determine 4th to 6th character in product ID in cell M2</t>
  </si>
  <si>
    <t>3. Have Calculated Average fro price of products using AVERAGE() and updated the answer in cell O36. Also have reduced the decimal point up to 2 digtits using number in home tab</t>
  </si>
  <si>
    <t>1. Have determined price of electronics category using sumif() in cell I2</t>
  </si>
  <si>
    <t>2. Have determined no of products with a price less then $100 using countif() in cell K2</t>
  </si>
  <si>
    <t>2. Have identified maximum price among products using MAX() and updated answer in M36</t>
  </si>
  <si>
    <t>1. Have applied IF() function and categorised price column as "High Price" and "Standard Price" in cell I2</t>
  </si>
  <si>
    <t>1. Have applied LEFT() to determine first 2 characters from left side in product ID in cell I2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</si>
</sst>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0"/>
      <color rgb="FF000000"/>
      <name val="Arial"/>
    </font>
    <font>
      <sz val="10"/>
      <color rgb="FF000000"/>
      <name val="Arial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right"/>
    </xf>
    <xf numFmtId="0" fontId="2" fillId="3" borderId="0" xfId="0" applyFont="1" applyFill="1"/>
    <xf numFmtId="0" fontId="2" fillId="3" borderId="0" xfId="0" applyFont="1" applyFill="1" applyAlignment="1">
      <alignment horizontal="right"/>
    </xf>
    <xf numFmtId="0" fontId="3" fillId="0" borderId="0" xfId="0" applyFont="1"/>
    <xf numFmtId="0" fontId="4" fillId="0" borderId="0" xfId="0" applyFont="1"/>
    <xf numFmtId="2" fontId="3" fillId="0" borderId="0" xfId="0" applyNumberFormat="1" applyFont="1"/>
    <xf numFmtId="0" fontId="1" fillId="0" borderId="0" xfId="0" applyFont="1"/>
    <xf numFmtId="0" fontId="1" fillId="2" borderId="0" xfId="0" applyFont="1" applyFill="1" applyAlignment="1">
      <alignment horizontal="left"/>
    </xf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35"/>
  <sheetViews>
    <sheetView topLeftCell="A10" workbookViewId="0">
      <selection activeCell="G11" sqref="G11"/>
    </sheetView>
  </sheetViews>
  <sheetFormatPr defaultColWidth="12.6640625" defaultRowHeight="15.75" customHeight="1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3">
        <v>1000</v>
      </c>
      <c r="E2" s="3">
        <v>30</v>
      </c>
      <c r="F2" s="2" t="s">
        <v>9</v>
      </c>
    </row>
    <row r="3" spans="1:6" x14ac:dyDescent="0.25">
      <c r="A3" s="4" t="s">
        <v>10</v>
      </c>
      <c r="B3" s="4" t="s">
        <v>11</v>
      </c>
      <c r="C3" s="4" t="s">
        <v>12</v>
      </c>
      <c r="D3" s="5">
        <v>80</v>
      </c>
      <c r="E3" s="5">
        <v>15</v>
      </c>
      <c r="F3" s="4" t="s">
        <v>13</v>
      </c>
    </row>
    <row r="4" spans="1:6" x14ac:dyDescent="0.25">
      <c r="A4" s="2" t="s">
        <v>14</v>
      </c>
      <c r="B4" s="2" t="s">
        <v>15</v>
      </c>
      <c r="C4" s="2" t="s">
        <v>16</v>
      </c>
      <c r="D4" s="3">
        <v>130</v>
      </c>
      <c r="E4" s="3">
        <v>40</v>
      </c>
      <c r="F4" s="2" t="s">
        <v>17</v>
      </c>
    </row>
    <row r="5" spans="1:6" x14ac:dyDescent="0.25">
      <c r="A5" s="4" t="s">
        <v>18</v>
      </c>
      <c r="B5" s="4" t="s">
        <v>19</v>
      </c>
      <c r="C5" s="4" t="s">
        <v>20</v>
      </c>
      <c r="D5" s="5">
        <v>900</v>
      </c>
      <c r="E5" s="5">
        <v>25</v>
      </c>
      <c r="F5" s="4" t="s">
        <v>9</v>
      </c>
    </row>
    <row r="6" spans="1:6" x14ac:dyDescent="0.25">
      <c r="A6" s="2" t="s">
        <v>21</v>
      </c>
      <c r="B6" s="2" t="s">
        <v>22</v>
      </c>
      <c r="C6" s="2" t="s">
        <v>23</v>
      </c>
      <c r="D6" s="3">
        <v>70</v>
      </c>
      <c r="E6" s="3">
        <v>20</v>
      </c>
      <c r="F6" s="2" t="s">
        <v>24</v>
      </c>
    </row>
    <row r="7" spans="1:6" x14ac:dyDescent="0.25">
      <c r="A7" s="4" t="s">
        <v>25</v>
      </c>
      <c r="B7" s="4" t="s">
        <v>26</v>
      </c>
      <c r="C7" s="4" t="s">
        <v>27</v>
      </c>
      <c r="D7" s="5">
        <v>200</v>
      </c>
      <c r="E7" s="5">
        <v>45</v>
      </c>
      <c r="F7" s="4" t="s">
        <v>9</v>
      </c>
    </row>
    <row r="8" spans="1:6" x14ac:dyDescent="0.25">
      <c r="A8" s="2" t="s">
        <v>28</v>
      </c>
      <c r="B8" s="2" t="s">
        <v>29</v>
      </c>
      <c r="C8" s="2" t="s">
        <v>30</v>
      </c>
      <c r="D8" s="3">
        <v>30</v>
      </c>
      <c r="E8" s="3">
        <v>5</v>
      </c>
      <c r="F8" s="2" t="s">
        <v>13</v>
      </c>
    </row>
    <row r="9" spans="1:6" x14ac:dyDescent="0.25">
      <c r="A9" s="4" t="s">
        <v>31</v>
      </c>
      <c r="B9" s="4" t="s">
        <v>32</v>
      </c>
      <c r="C9" s="4" t="s">
        <v>33</v>
      </c>
      <c r="D9" s="5">
        <v>90</v>
      </c>
      <c r="E9" s="5">
        <v>35</v>
      </c>
      <c r="F9" s="4" t="s">
        <v>17</v>
      </c>
    </row>
    <row r="10" spans="1:6" x14ac:dyDescent="0.25">
      <c r="A10" s="2" t="s">
        <v>34</v>
      </c>
      <c r="B10" s="2" t="s">
        <v>35</v>
      </c>
      <c r="C10" s="2" t="s">
        <v>36</v>
      </c>
      <c r="D10" s="3">
        <v>500</v>
      </c>
      <c r="E10" s="3">
        <v>50</v>
      </c>
      <c r="F10" s="2" t="s">
        <v>9</v>
      </c>
    </row>
    <row r="11" spans="1:6" x14ac:dyDescent="0.25">
      <c r="A11" s="4" t="s">
        <v>37</v>
      </c>
      <c r="B11" s="4" t="s">
        <v>38</v>
      </c>
      <c r="C11" s="4" t="s">
        <v>39</v>
      </c>
      <c r="D11" s="5">
        <v>130</v>
      </c>
      <c r="E11" s="5">
        <v>10</v>
      </c>
      <c r="F11" s="4" t="s">
        <v>24</v>
      </c>
    </row>
    <row r="12" spans="1:6" x14ac:dyDescent="0.25">
      <c r="A12" s="2" t="s">
        <v>40</v>
      </c>
      <c r="B12" s="2" t="s">
        <v>7</v>
      </c>
      <c r="C12" s="2" t="s">
        <v>41</v>
      </c>
      <c r="D12" s="3">
        <v>950</v>
      </c>
      <c r="E12" s="3">
        <v>25</v>
      </c>
      <c r="F12" s="2" t="s">
        <v>9</v>
      </c>
    </row>
    <row r="13" spans="1:6" x14ac:dyDescent="0.25">
      <c r="A13" s="4" t="s">
        <v>42</v>
      </c>
      <c r="B13" s="4" t="s">
        <v>11</v>
      </c>
      <c r="C13" s="4" t="s">
        <v>30</v>
      </c>
      <c r="D13" s="5">
        <v>90</v>
      </c>
      <c r="E13" s="5">
        <v>40</v>
      </c>
      <c r="F13" s="4" t="s">
        <v>13</v>
      </c>
    </row>
    <row r="14" spans="1:6" x14ac:dyDescent="0.25">
      <c r="A14" s="2" t="s">
        <v>43</v>
      </c>
      <c r="B14" s="2" t="s">
        <v>15</v>
      </c>
      <c r="C14" s="2" t="s">
        <v>44</v>
      </c>
      <c r="D14" s="3">
        <v>120</v>
      </c>
      <c r="E14" s="3">
        <v>35</v>
      </c>
      <c r="F14" s="2" t="s">
        <v>17</v>
      </c>
    </row>
    <row r="15" spans="1:6" x14ac:dyDescent="0.25">
      <c r="A15" s="4" t="s">
        <v>45</v>
      </c>
      <c r="B15" s="4" t="s">
        <v>46</v>
      </c>
      <c r="C15" s="4" t="s">
        <v>47</v>
      </c>
      <c r="D15" s="5">
        <v>150</v>
      </c>
      <c r="E15" s="5">
        <v>15</v>
      </c>
      <c r="F15" s="4" t="s">
        <v>9</v>
      </c>
    </row>
    <row r="16" spans="1:6" x14ac:dyDescent="0.25">
      <c r="A16" s="2" t="s">
        <v>48</v>
      </c>
      <c r="B16" s="2" t="s">
        <v>26</v>
      </c>
      <c r="C16" s="2" t="s">
        <v>49</v>
      </c>
      <c r="D16" s="3">
        <v>250</v>
      </c>
      <c r="E16" s="3">
        <v>20</v>
      </c>
      <c r="F16" s="2" t="s">
        <v>9</v>
      </c>
    </row>
    <row r="17" spans="1:6" x14ac:dyDescent="0.25">
      <c r="A17" s="4" t="s">
        <v>50</v>
      </c>
      <c r="B17" s="4" t="s">
        <v>51</v>
      </c>
      <c r="C17" s="4" t="s">
        <v>52</v>
      </c>
      <c r="D17" s="5">
        <v>50</v>
      </c>
      <c r="E17" s="5">
        <v>35</v>
      </c>
      <c r="F17" s="4" t="s">
        <v>53</v>
      </c>
    </row>
    <row r="18" spans="1:6" x14ac:dyDescent="0.25">
      <c r="A18" s="2" t="s">
        <v>54</v>
      </c>
      <c r="B18" s="2" t="s">
        <v>46</v>
      </c>
      <c r="C18" s="2" t="s">
        <v>55</v>
      </c>
      <c r="D18" s="3">
        <v>160</v>
      </c>
      <c r="E18" s="3">
        <v>15</v>
      </c>
      <c r="F18" s="2" t="s">
        <v>9</v>
      </c>
    </row>
    <row r="19" spans="1:6" x14ac:dyDescent="0.25">
      <c r="A19" s="4" t="s">
        <v>56</v>
      </c>
      <c r="B19" s="4" t="s">
        <v>7</v>
      </c>
      <c r="C19" s="4" t="s">
        <v>57</v>
      </c>
      <c r="D19" s="5">
        <v>980</v>
      </c>
      <c r="E19" s="5">
        <v>10</v>
      </c>
      <c r="F19" s="4" t="s">
        <v>9</v>
      </c>
    </row>
    <row r="20" spans="1:6" x14ac:dyDescent="0.25">
      <c r="A20" s="2" t="s">
        <v>58</v>
      </c>
      <c r="B20" s="2" t="s">
        <v>59</v>
      </c>
      <c r="C20" s="2" t="s">
        <v>60</v>
      </c>
      <c r="D20" s="3">
        <v>150</v>
      </c>
      <c r="E20" s="3">
        <v>15</v>
      </c>
      <c r="F20" s="2" t="s">
        <v>13</v>
      </c>
    </row>
    <row r="21" spans="1:6" x14ac:dyDescent="0.25">
      <c r="A21" s="4" t="s">
        <v>61</v>
      </c>
      <c r="B21" s="4" t="s">
        <v>62</v>
      </c>
      <c r="C21" s="4" t="s">
        <v>63</v>
      </c>
      <c r="D21" s="5">
        <v>200</v>
      </c>
      <c r="E21" s="5">
        <v>10</v>
      </c>
      <c r="F21" s="4" t="s">
        <v>24</v>
      </c>
    </row>
    <row r="22" spans="1:6" x14ac:dyDescent="0.25">
      <c r="A22" s="2" t="s">
        <v>64</v>
      </c>
      <c r="B22" s="2" t="s">
        <v>65</v>
      </c>
      <c r="C22" s="2" t="s">
        <v>66</v>
      </c>
      <c r="D22" s="3">
        <v>700</v>
      </c>
      <c r="E22" s="3">
        <v>50</v>
      </c>
      <c r="F22" s="2" t="s">
        <v>9</v>
      </c>
    </row>
    <row r="23" spans="1:6" x14ac:dyDescent="0.25">
      <c r="A23" s="4" t="s">
        <v>67</v>
      </c>
      <c r="B23" s="4" t="s">
        <v>68</v>
      </c>
      <c r="C23" s="4" t="s">
        <v>69</v>
      </c>
      <c r="D23" s="5">
        <v>80</v>
      </c>
      <c r="E23" s="5">
        <v>20</v>
      </c>
      <c r="F23" s="4" t="s">
        <v>17</v>
      </c>
    </row>
    <row r="24" spans="1:6" x14ac:dyDescent="0.25">
      <c r="A24" s="2" t="s">
        <v>70</v>
      </c>
      <c r="B24" s="2" t="s">
        <v>71</v>
      </c>
      <c r="C24" s="2" t="s">
        <v>72</v>
      </c>
      <c r="D24" s="3">
        <v>150</v>
      </c>
      <c r="E24" s="3">
        <v>30</v>
      </c>
      <c r="F24" s="2" t="s">
        <v>9</v>
      </c>
    </row>
    <row r="25" spans="1:6" x14ac:dyDescent="0.25">
      <c r="A25" s="4" t="s">
        <v>50</v>
      </c>
      <c r="B25" s="4" t="s">
        <v>51</v>
      </c>
      <c r="C25" s="4" t="s">
        <v>52</v>
      </c>
      <c r="D25" s="5">
        <v>50</v>
      </c>
      <c r="E25" s="5">
        <v>35</v>
      </c>
      <c r="F25" s="4" t="s">
        <v>53</v>
      </c>
    </row>
    <row r="26" spans="1:6" x14ac:dyDescent="0.25">
      <c r="A26" s="2" t="s">
        <v>73</v>
      </c>
      <c r="B26" s="2" t="s">
        <v>19</v>
      </c>
      <c r="C26" s="2" t="s">
        <v>74</v>
      </c>
      <c r="D26" s="3">
        <v>800</v>
      </c>
      <c r="E26" s="3">
        <v>45</v>
      </c>
      <c r="F26" s="2" t="s">
        <v>9</v>
      </c>
    </row>
    <row r="27" spans="1:6" x14ac:dyDescent="0.25">
      <c r="A27" s="4" t="s">
        <v>75</v>
      </c>
      <c r="B27" s="4" t="s">
        <v>59</v>
      </c>
      <c r="C27" s="4" t="s">
        <v>76</v>
      </c>
      <c r="D27" s="5">
        <v>130</v>
      </c>
      <c r="E27" s="5">
        <v>25</v>
      </c>
      <c r="F27" s="4" t="s">
        <v>13</v>
      </c>
    </row>
    <row r="28" spans="1:6" x14ac:dyDescent="0.25">
      <c r="A28" s="2" t="s">
        <v>77</v>
      </c>
      <c r="B28" s="2" t="s">
        <v>32</v>
      </c>
      <c r="C28" s="2" t="s">
        <v>78</v>
      </c>
      <c r="D28" s="3">
        <v>400</v>
      </c>
      <c r="E28" s="3">
        <v>40</v>
      </c>
      <c r="F28" s="2" t="s">
        <v>17</v>
      </c>
    </row>
    <row r="29" spans="1:6" x14ac:dyDescent="0.25">
      <c r="A29" s="4" t="s">
        <v>48</v>
      </c>
      <c r="B29" s="4" t="s">
        <v>26</v>
      </c>
      <c r="C29" s="4" t="s">
        <v>49</v>
      </c>
      <c r="D29" s="5">
        <v>230</v>
      </c>
      <c r="E29" s="5">
        <v>20</v>
      </c>
      <c r="F29" s="4" t="s">
        <v>9</v>
      </c>
    </row>
    <row r="30" spans="1:6" x14ac:dyDescent="0.25">
      <c r="A30" s="2" t="s">
        <v>79</v>
      </c>
      <c r="B30" s="2" t="s">
        <v>80</v>
      </c>
      <c r="C30" s="2" t="s">
        <v>81</v>
      </c>
      <c r="D30" s="3">
        <v>60</v>
      </c>
      <c r="E30" s="3">
        <v>30</v>
      </c>
      <c r="F30" s="2" t="s">
        <v>13</v>
      </c>
    </row>
    <row r="31" spans="1:6" x14ac:dyDescent="0.25">
      <c r="A31" s="4" t="s">
        <v>82</v>
      </c>
      <c r="B31" s="4" t="s">
        <v>83</v>
      </c>
      <c r="C31" s="4" t="s">
        <v>84</v>
      </c>
      <c r="D31" s="5">
        <v>40</v>
      </c>
      <c r="E31" s="5">
        <v>10</v>
      </c>
      <c r="F31" s="4" t="s">
        <v>17</v>
      </c>
    </row>
    <row r="32" spans="1:6" x14ac:dyDescent="0.25">
      <c r="A32" s="2" t="s">
        <v>85</v>
      </c>
      <c r="B32" s="2" t="s">
        <v>71</v>
      </c>
      <c r="C32" s="2" t="s">
        <v>86</v>
      </c>
      <c r="D32" s="3">
        <v>130</v>
      </c>
      <c r="E32" s="3">
        <v>5</v>
      </c>
      <c r="F32" s="2" t="s">
        <v>9</v>
      </c>
    </row>
    <row r="33" spans="1:6" x14ac:dyDescent="0.25">
      <c r="A33" s="4" t="s">
        <v>87</v>
      </c>
      <c r="B33" s="4" t="s">
        <v>88</v>
      </c>
      <c r="C33" s="4" t="s">
        <v>89</v>
      </c>
      <c r="D33" s="5">
        <v>50</v>
      </c>
      <c r="E33" s="5">
        <v>50</v>
      </c>
      <c r="F33" s="4" t="s">
        <v>13</v>
      </c>
    </row>
    <row r="34" spans="1:6" x14ac:dyDescent="0.25">
      <c r="A34" s="2" t="s">
        <v>40</v>
      </c>
      <c r="B34" s="2" t="s">
        <v>7</v>
      </c>
      <c r="C34" s="2" t="s">
        <v>41</v>
      </c>
      <c r="D34" s="3">
        <v>950</v>
      </c>
      <c r="E34" s="3">
        <v>25</v>
      </c>
      <c r="F34" s="2" t="s">
        <v>9</v>
      </c>
    </row>
    <row r="35" spans="1:6" x14ac:dyDescent="0.25">
      <c r="A35" s="4" t="s">
        <v>90</v>
      </c>
      <c r="B35" s="4" t="s">
        <v>91</v>
      </c>
      <c r="C35" s="4" t="s">
        <v>92</v>
      </c>
      <c r="D35" s="5">
        <v>100</v>
      </c>
      <c r="E35" s="5">
        <v>20</v>
      </c>
      <c r="F35" s="4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O41"/>
  <sheetViews>
    <sheetView topLeftCell="F19" workbookViewId="0">
      <selection activeCell="Q36" sqref="Q36"/>
    </sheetView>
  </sheetViews>
  <sheetFormatPr defaultColWidth="12.6640625" defaultRowHeight="15.75" customHeight="1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I1" s="6" t="s">
        <v>93</v>
      </c>
      <c r="L1" s="6" t="s">
        <v>94</v>
      </c>
      <c r="O1" s="7" t="s">
        <v>95</v>
      </c>
    </row>
    <row r="2" spans="1:15" x14ac:dyDescent="0.25">
      <c r="A2" s="2" t="s">
        <v>6</v>
      </c>
      <c r="B2" s="2" t="s">
        <v>7</v>
      </c>
      <c r="C2" s="2" t="s">
        <v>8</v>
      </c>
      <c r="D2" s="3">
        <v>1000</v>
      </c>
      <c r="E2" s="3">
        <v>30</v>
      </c>
      <c r="F2" s="2" t="s">
        <v>9</v>
      </c>
      <c r="I2" s="7">
        <v>1000</v>
      </c>
      <c r="L2" s="2" t="s">
        <v>7</v>
      </c>
      <c r="O2" s="7">
        <v>1000</v>
      </c>
    </row>
    <row r="3" spans="1:15" x14ac:dyDescent="0.25">
      <c r="A3" s="4" t="s">
        <v>10</v>
      </c>
      <c r="B3" s="4" t="s">
        <v>11</v>
      </c>
      <c r="C3" s="4" t="s">
        <v>12</v>
      </c>
      <c r="D3" s="5">
        <v>80</v>
      </c>
      <c r="E3" s="5">
        <v>15</v>
      </c>
      <c r="F3" s="4" t="s">
        <v>13</v>
      </c>
      <c r="I3" s="7">
        <v>80</v>
      </c>
      <c r="L3" s="4" t="s">
        <v>11</v>
      </c>
      <c r="O3" s="7">
        <v>80</v>
      </c>
    </row>
    <row r="4" spans="1:15" x14ac:dyDescent="0.25">
      <c r="A4" s="2" t="s">
        <v>14</v>
      </c>
      <c r="B4" s="2" t="s">
        <v>15</v>
      </c>
      <c r="C4" s="2" t="s">
        <v>16</v>
      </c>
      <c r="D4" s="3">
        <v>130</v>
      </c>
      <c r="E4" s="3">
        <v>40</v>
      </c>
      <c r="F4" s="2" t="s">
        <v>17</v>
      </c>
      <c r="I4" s="7">
        <v>130</v>
      </c>
      <c r="L4" s="2" t="s">
        <v>15</v>
      </c>
      <c r="O4" s="7">
        <v>130</v>
      </c>
    </row>
    <row r="5" spans="1:15" x14ac:dyDescent="0.25">
      <c r="A5" s="4" t="s">
        <v>18</v>
      </c>
      <c r="B5" s="4" t="s">
        <v>19</v>
      </c>
      <c r="C5" s="4" t="s">
        <v>20</v>
      </c>
      <c r="D5" s="5">
        <v>900</v>
      </c>
      <c r="E5" s="5">
        <v>25</v>
      </c>
      <c r="F5" s="4" t="s">
        <v>9</v>
      </c>
      <c r="I5" s="7">
        <v>900</v>
      </c>
      <c r="L5" s="4" t="s">
        <v>19</v>
      </c>
      <c r="O5" s="7">
        <v>900</v>
      </c>
    </row>
    <row r="6" spans="1:15" x14ac:dyDescent="0.25">
      <c r="A6" s="2" t="s">
        <v>21</v>
      </c>
      <c r="B6" s="2" t="s">
        <v>22</v>
      </c>
      <c r="C6" s="2" t="s">
        <v>23</v>
      </c>
      <c r="D6" s="3">
        <v>70</v>
      </c>
      <c r="E6" s="3">
        <v>20</v>
      </c>
      <c r="F6" s="2" t="s">
        <v>24</v>
      </c>
      <c r="I6" s="7">
        <v>70</v>
      </c>
      <c r="L6" s="2" t="s">
        <v>22</v>
      </c>
      <c r="O6" s="7">
        <v>70</v>
      </c>
    </row>
    <row r="7" spans="1:15" x14ac:dyDescent="0.25">
      <c r="A7" s="4" t="s">
        <v>25</v>
      </c>
      <c r="B7" s="4" t="s">
        <v>26</v>
      </c>
      <c r="C7" s="4" t="s">
        <v>27</v>
      </c>
      <c r="D7" s="5">
        <v>200</v>
      </c>
      <c r="E7" s="5">
        <v>45</v>
      </c>
      <c r="F7" s="4" t="s">
        <v>9</v>
      </c>
      <c r="I7" s="7">
        <v>200</v>
      </c>
      <c r="L7" s="4" t="s">
        <v>26</v>
      </c>
      <c r="O7" s="7">
        <v>200</v>
      </c>
    </row>
    <row r="8" spans="1:15" x14ac:dyDescent="0.25">
      <c r="A8" s="2" t="s">
        <v>28</v>
      </c>
      <c r="B8" s="2" t="s">
        <v>29</v>
      </c>
      <c r="C8" s="2" t="s">
        <v>30</v>
      </c>
      <c r="D8" s="3">
        <v>30</v>
      </c>
      <c r="E8" s="3">
        <v>5</v>
      </c>
      <c r="F8" s="2" t="s">
        <v>13</v>
      </c>
      <c r="I8" s="7">
        <v>30</v>
      </c>
      <c r="L8" s="2" t="s">
        <v>29</v>
      </c>
      <c r="O8" s="7">
        <v>30</v>
      </c>
    </row>
    <row r="9" spans="1:15" x14ac:dyDescent="0.25">
      <c r="A9" s="4" t="s">
        <v>31</v>
      </c>
      <c r="B9" s="4" t="s">
        <v>32</v>
      </c>
      <c r="C9" s="4" t="s">
        <v>33</v>
      </c>
      <c r="D9" s="5">
        <v>90</v>
      </c>
      <c r="E9" s="5">
        <v>35</v>
      </c>
      <c r="F9" s="4" t="s">
        <v>17</v>
      </c>
      <c r="I9" s="7">
        <v>90</v>
      </c>
      <c r="L9" s="4" t="s">
        <v>32</v>
      </c>
      <c r="O9" s="7">
        <v>90</v>
      </c>
    </row>
    <row r="10" spans="1:15" x14ac:dyDescent="0.25">
      <c r="A10" s="2" t="s">
        <v>34</v>
      </c>
      <c r="B10" s="2" t="s">
        <v>35</v>
      </c>
      <c r="C10" s="2" t="s">
        <v>36</v>
      </c>
      <c r="D10" s="3">
        <v>500</v>
      </c>
      <c r="E10" s="3">
        <v>50</v>
      </c>
      <c r="F10" s="2" t="s">
        <v>9</v>
      </c>
      <c r="I10" s="7">
        <v>500</v>
      </c>
      <c r="L10" s="2" t="s">
        <v>35</v>
      </c>
      <c r="O10" s="7">
        <v>500</v>
      </c>
    </row>
    <row r="11" spans="1:15" x14ac:dyDescent="0.25">
      <c r="A11" s="4" t="s">
        <v>37</v>
      </c>
      <c r="B11" s="4" t="s">
        <v>38</v>
      </c>
      <c r="C11" s="4" t="s">
        <v>39</v>
      </c>
      <c r="D11" s="5">
        <v>130</v>
      </c>
      <c r="E11" s="5">
        <v>10</v>
      </c>
      <c r="F11" s="4" t="s">
        <v>24</v>
      </c>
      <c r="I11" s="7">
        <v>130</v>
      </c>
      <c r="L11" s="4" t="s">
        <v>38</v>
      </c>
      <c r="O11" s="7">
        <v>130</v>
      </c>
    </row>
    <row r="12" spans="1:15" x14ac:dyDescent="0.25">
      <c r="A12" s="2" t="s">
        <v>40</v>
      </c>
      <c r="B12" s="2" t="s">
        <v>7</v>
      </c>
      <c r="C12" s="2" t="s">
        <v>41</v>
      </c>
      <c r="D12" s="3">
        <v>950</v>
      </c>
      <c r="E12" s="3">
        <v>25</v>
      </c>
      <c r="F12" s="2" t="s">
        <v>9</v>
      </c>
      <c r="I12" s="7">
        <v>950</v>
      </c>
      <c r="L12" s="2" t="s">
        <v>7</v>
      </c>
      <c r="O12" s="7">
        <v>950</v>
      </c>
    </row>
    <row r="13" spans="1:15" x14ac:dyDescent="0.25">
      <c r="A13" s="4" t="s">
        <v>42</v>
      </c>
      <c r="B13" s="4" t="s">
        <v>11</v>
      </c>
      <c r="C13" s="4" t="s">
        <v>30</v>
      </c>
      <c r="D13" s="5">
        <v>90</v>
      </c>
      <c r="E13" s="5">
        <v>40</v>
      </c>
      <c r="F13" s="4" t="s">
        <v>13</v>
      </c>
      <c r="I13" s="7">
        <v>90</v>
      </c>
      <c r="L13" s="4" t="s">
        <v>11</v>
      </c>
      <c r="O13" s="7">
        <v>90</v>
      </c>
    </row>
    <row r="14" spans="1:15" x14ac:dyDescent="0.25">
      <c r="A14" s="2" t="s">
        <v>43</v>
      </c>
      <c r="B14" s="2" t="s">
        <v>15</v>
      </c>
      <c r="C14" s="2" t="s">
        <v>44</v>
      </c>
      <c r="D14" s="3">
        <v>120</v>
      </c>
      <c r="E14" s="3">
        <v>35</v>
      </c>
      <c r="F14" s="2" t="s">
        <v>17</v>
      </c>
      <c r="I14" s="7">
        <v>120</v>
      </c>
      <c r="L14" s="2" t="s">
        <v>15</v>
      </c>
      <c r="O14" s="7">
        <v>120</v>
      </c>
    </row>
    <row r="15" spans="1:15" x14ac:dyDescent="0.25">
      <c r="A15" s="4" t="s">
        <v>45</v>
      </c>
      <c r="B15" s="4" t="s">
        <v>46</v>
      </c>
      <c r="C15" s="4" t="s">
        <v>47</v>
      </c>
      <c r="D15" s="5">
        <v>150</v>
      </c>
      <c r="E15" s="5">
        <v>15</v>
      </c>
      <c r="F15" s="4" t="s">
        <v>9</v>
      </c>
      <c r="I15" s="7">
        <v>150</v>
      </c>
      <c r="L15" s="4" t="s">
        <v>46</v>
      </c>
      <c r="O15" s="7">
        <v>150</v>
      </c>
    </row>
    <row r="16" spans="1:15" x14ac:dyDescent="0.25">
      <c r="A16" s="2" t="s">
        <v>48</v>
      </c>
      <c r="B16" s="2" t="s">
        <v>26</v>
      </c>
      <c r="C16" s="2" t="s">
        <v>49</v>
      </c>
      <c r="D16" s="3">
        <v>250</v>
      </c>
      <c r="E16" s="3">
        <v>20</v>
      </c>
      <c r="F16" s="2" t="s">
        <v>9</v>
      </c>
      <c r="I16" s="7">
        <v>250</v>
      </c>
      <c r="L16" s="2" t="s">
        <v>26</v>
      </c>
      <c r="O16" s="7">
        <v>250</v>
      </c>
    </row>
    <row r="17" spans="1:15" x14ac:dyDescent="0.25">
      <c r="A17" s="4" t="s">
        <v>50</v>
      </c>
      <c r="B17" s="4" t="s">
        <v>51</v>
      </c>
      <c r="C17" s="4" t="s">
        <v>52</v>
      </c>
      <c r="D17" s="5">
        <v>50</v>
      </c>
      <c r="E17" s="5">
        <v>35</v>
      </c>
      <c r="F17" s="4" t="s">
        <v>53</v>
      </c>
      <c r="I17" s="7">
        <v>50</v>
      </c>
      <c r="L17" s="4" t="s">
        <v>51</v>
      </c>
      <c r="O17" s="7">
        <v>50</v>
      </c>
    </row>
    <row r="18" spans="1:15" x14ac:dyDescent="0.25">
      <c r="A18" s="2" t="s">
        <v>54</v>
      </c>
      <c r="B18" s="2" t="s">
        <v>46</v>
      </c>
      <c r="C18" s="2" t="s">
        <v>55</v>
      </c>
      <c r="D18" s="3">
        <v>160</v>
      </c>
      <c r="E18" s="3">
        <v>15</v>
      </c>
      <c r="F18" s="2" t="s">
        <v>9</v>
      </c>
      <c r="I18" s="7">
        <v>160</v>
      </c>
      <c r="L18" s="2" t="s">
        <v>46</v>
      </c>
      <c r="O18" s="7">
        <v>160</v>
      </c>
    </row>
    <row r="19" spans="1:15" x14ac:dyDescent="0.25">
      <c r="A19" s="4" t="s">
        <v>56</v>
      </c>
      <c r="B19" s="4" t="s">
        <v>7</v>
      </c>
      <c r="C19" s="4" t="s">
        <v>57</v>
      </c>
      <c r="D19" s="5">
        <v>980</v>
      </c>
      <c r="E19" s="5">
        <v>10</v>
      </c>
      <c r="F19" s="4" t="s">
        <v>9</v>
      </c>
      <c r="I19" s="7">
        <v>980</v>
      </c>
      <c r="L19" s="4" t="s">
        <v>7</v>
      </c>
      <c r="O19" s="7">
        <v>980</v>
      </c>
    </row>
    <row r="20" spans="1:15" x14ac:dyDescent="0.25">
      <c r="A20" s="2" t="s">
        <v>58</v>
      </c>
      <c r="B20" s="2" t="s">
        <v>59</v>
      </c>
      <c r="C20" s="2" t="s">
        <v>60</v>
      </c>
      <c r="D20" s="3">
        <v>150</v>
      </c>
      <c r="E20" s="3">
        <v>15</v>
      </c>
      <c r="F20" s="2" t="s">
        <v>13</v>
      </c>
      <c r="I20" s="7">
        <v>150</v>
      </c>
      <c r="L20" s="2" t="s">
        <v>59</v>
      </c>
      <c r="O20" s="7">
        <v>150</v>
      </c>
    </row>
    <row r="21" spans="1:15" x14ac:dyDescent="0.25">
      <c r="A21" s="4" t="s">
        <v>61</v>
      </c>
      <c r="B21" s="4" t="s">
        <v>62</v>
      </c>
      <c r="C21" s="4" t="s">
        <v>63</v>
      </c>
      <c r="D21" s="5">
        <v>200</v>
      </c>
      <c r="E21" s="5">
        <v>10</v>
      </c>
      <c r="F21" s="4" t="s">
        <v>24</v>
      </c>
      <c r="I21" s="7">
        <v>200</v>
      </c>
      <c r="L21" s="4" t="s">
        <v>62</v>
      </c>
      <c r="O21" s="7">
        <v>200</v>
      </c>
    </row>
    <row r="22" spans="1:15" x14ac:dyDescent="0.25">
      <c r="A22" s="2" t="s">
        <v>64</v>
      </c>
      <c r="B22" s="2" t="s">
        <v>65</v>
      </c>
      <c r="C22" s="2" t="s">
        <v>66</v>
      </c>
      <c r="D22" s="3">
        <v>700</v>
      </c>
      <c r="E22" s="3">
        <v>50</v>
      </c>
      <c r="F22" s="2" t="s">
        <v>9</v>
      </c>
      <c r="I22" s="7">
        <v>700</v>
      </c>
      <c r="L22" s="2" t="s">
        <v>65</v>
      </c>
      <c r="O22" s="7">
        <v>700</v>
      </c>
    </row>
    <row r="23" spans="1:15" x14ac:dyDescent="0.25">
      <c r="A23" s="4" t="s">
        <v>67</v>
      </c>
      <c r="B23" s="4" t="s">
        <v>68</v>
      </c>
      <c r="C23" s="4" t="s">
        <v>69</v>
      </c>
      <c r="D23" s="5">
        <v>80</v>
      </c>
      <c r="E23" s="5">
        <v>20</v>
      </c>
      <c r="F23" s="4" t="s">
        <v>17</v>
      </c>
      <c r="I23" s="7">
        <v>80</v>
      </c>
      <c r="L23" s="4" t="s">
        <v>68</v>
      </c>
      <c r="O23" s="7">
        <v>80</v>
      </c>
    </row>
    <row r="24" spans="1:15" x14ac:dyDescent="0.25">
      <c r="A24" s="2" t="s">
        <v>70</v>
      </c>
      <c r="B24" s="2" t="s">
        <v>71</v>
      </c>
      <c r="C24" s="2" t="s">
        <v>72</v>
      </c>
      <c r="D24" s="3">
        <v>150</v>
      </c>
      <c r="E24" s="3">
        <v>30</v>
      </c>
      <c r="F24" s="2" t="s">
        <v>9</v>
      </c>
      <c r="I24" s="7">
        <v>150</v>
      </c>
      <c r="L24" s="2" t="s">
        <v>71</v>
      </c>
      <c r="O24" s="7">
        <v>150</v>
      </c>
    </row>
    <row r="25" spans="1:15" x14ac:dyDescent="0.25">
      <c r="A25" s="4" t="s">
        <v>50</v>
      </c>
      <c r="B25" s="4" t="s">
        <v>51</v>
      </c>
      <c r="C25" s="4" t="s">
        <v>52</v>
      </c>
      <c r="D25" s="5">
        <v>50</v>
      </c>
      <c r="E25" s="5">
        <v>35</v>
      </c>
      <c r="F25" s="4" t="s">
        <v>53</v>
      </c>
      <c r="I25" s="7">
        <v>50</v>
      </c>
      <c r="L25" s="4" t="s">
        <v>51</v>
      </c>
      <c r="O25" s="7">
        <v>50</v>
      </c>
    </row>
    <row r="26" spans="1:15" x14ac:dyDescent="0.25">
      <c r="A26" s="2" t="s">
        <v>73</v>
      </c>
      <c r="B26" s="2" t="s">
        <v>19</v>
      </c>
      <c r="C26" s="2" t="s">
        <v>74</v>
      </c>
      <c r="D26" s="3">
        <v>800</v>
      </c>
      <c r="E26" s="3">
        <v>45</v>
      </c>
      <c r="F26" s="2" t="s">
        <v>9</v>
      </c>
      <c r="I26" s="7">
        <v>800</v>
      </c>
      <c r="L26" s="2" t="s">
        <v>19</v>
      </c>
      <c r="O26" s="7">
        <v>800</v>
      </c>
    </row>
    <row r="27" spans="1:15" x14ac:dyDescent="0.25">
      <c r="A27" s="4" t="s">
        <v>75</v>
      </c>
      <c r="B27" s="4" t="s">
        <v>59</v>
      </c>
      <c r="C27" s="4" t="s">
        <v>76</v>
      </c>
      <c r="D27" s="5">
        <v>130</v>
      </c>
      <c r="E27" s="5">
        <v>25</v>
      </c>
      <c r="F27" s="4" t="s">
        <v>13</v>
      </c>
      <c r="I27" s="7">
        <v>130</v>
      </c>
      <c r="L27" s="4" t="s">
        <v>59</v>
      </c>
      <c r="O27" s="7">
        <v>130</v>
      </c>
    </row>
    <row r="28" spans="1:15" x14ac:dyDescent="0.25">
      <c r="A28" s="2" t="s">
        <v>77</v>
      </c>
      <c r="B28" s="2" t="s">
        <v>32</v>
      </c>
      <c r="C28" s="2" t="s">
        <v>78</v>
      </c>
      <c r="D28" s="3">
        <v>400</v>
      </c>
      <c r="E28" s="3">
        <v>40</v>
      </c>
      <c r="F28" s="2" t="s">
        <v>17</v>
      </c>
      <c r="I28" s="7">
        <v>400</v>
      </c>
      <c r="L28" s="2" t="s">
        <v>32</v>
      </c>
      <c r="O28" s="7">
        <v>400</v>
      </c>
    </row>
    <row r="29" spans="1:15" x14ac:dyDescent="0.25">
      <c r="A29" s="4" t="s">
        <v>48</v>
      </c>
      <c r="B29" s="4" t="s">
        <v>26</v>
      </c>
      <c r="C29" s="4" t="s">
        <v>49</v>
      </c>
      <c r="D29" s="5">
        <v>230</v>
      </c>
      <c r="E29" s="5">
        <v>20</v>
      </c>
      <c r="F29" s="4" t="s">
        <v>9</v>
      </c>
      <c r="I29" s="7">
        <v>230</v>
      </c>
      <c r="L29" s="4" t="s">
        <v>26</v>
      </c>
      <c r="O29" s="7">
        <v>230</v>
      </c>
    </row>
    <row r="30" spans="1:15" x14ac:dyDescent="0.25">
      <c r="A30" s="2" t="s">
        <v>79</v>
      </c>
      <c r="B30" s="2" t="s">
        <v>80</v>
      </c>
      <c r="C30" s="2" t="s">
        <v>81</v>
      </c>
      <c r="D30" s="3">
        <v>60</v>
      </c>
      <c r="E30" s="3">
        <v>30</v>
      </c>
      <c r="F30" s="2" t="s">
        <v>13</v>
      </c>
      <c r="I30" s="7">
        <v>60</v>
      </c>
      <c r="L30" s="2" t="s">
        <v>80</v>
      </c>
      <c r="O30" s="7">
        <v>60</v>
      </c>
    </row>
    <row r="31" spans="1:15" x14ac:dyDescent="0.25">
      <c r="A31" s="4" t="s">
        <v>82</v>
      </c>
      <c r="B31" s="4" t="s">
        <v>83</v>
      </c>
      <c r="C31" s="4" t="s">
        <v>84</v>
      </c>
      <c r="D31" s="5">
        <v>40</v>
      </c>
      <c r="E31" s="5">
        <v>10</v>
      </c>
      <c r="F31" s="4" t="s">
        <v>17</v>
      </c>
      <c r="I31" s="7">
        <v>40</v>
      </c>
      <c r="L31" s="4" t="s">
        <v>83</v>
      </c>
      <c r="O31" s="7">
        <v>40</v>
      </c>
    </row>
    <row r="32" spans="1:15" x14ac:dyDescent="0.25">
      <c r="A32" s="2" t="s">
        <v>85</v>
      </c>
      <c r="B32" s="2" t="s">
        <v>71</v>
      </c>
      <c r="C32" s="2" t="s">
        <v>86</v>
      </c>
      <c r="D32" s="3">
        <v>130</v>
      </c>
      <c r="E32" s="3">
        <v>5</v>
      </c>
      <c r="F32" s="2" t="s">
        <v>9</v>
      </c>
      <c r="I32" s="7">
        <v>130</v>
      </c>
      <c r="L32" s="2" t="s">
        <v>71</v>
      </c>
      <c r="O32" s="7">
        <v>130</v>
      </c>
    </row>
    <row r="33" spans="1:15" x14ac:dyDescent="0.25">
      <c r="A33" s="4" t="s">
        <v>87</v>
      </c>
      <c r="B33" s="4" t="s">
        <v>88</v>
      </c>
      <c r="C33" s="4" t="s">
        <v>89</v>
      </c>
      <c r="D33" s="5">
        <v>50</v>
      </c>
      <c r="E33" s="5">
        <v>50</v>
      </c>
      <c r="F33" s="4" t="s">
        <v>13</v>
      </c>
      <c r="I33" s="7">
        <v>50</v>
      </c>
      <c r="L33" s="4" t="s">
        <v>88</v>
      </c>
      <c r="O33" s="7">
        <v>50</v>
      </c>
    </row>
    <row r="34" spans="1:15" x14ac:dyDescent="0.25">
      <c r="A34" s="2" t="s">
        <v>40</v>
      </c>
      <c r="B34" s="2" t="s">
        <v>7</v>
      </c>
      <c r="C34" s="2" t="s">
        <v>41</v>
      </c>
      <c r="D34" s="3">
        <v>950</v>
      </c>
      <c r="E34" s="3">
        <v>25</v>
      </c>
      <c r="F34" s="2" t="s">
        <v>9</v>
      </c>
      <c r="I34" s="7">
        <v>950</v>
      </c>
      <c r="L34" s="2" t="s">
        <v>7</v>
      </c>
      <c r="O34" s="7">
        <v>950</v>
      </c>
    </row>
    <row r="35" spans="1:15" x14ac:dyDescent="0.25">
      <c r="A35" s="4" t="s">
        <v>90</v>
      </c>
      <c r="B35" s="4" t="s">
        <v>91</v>
      </c>
      <c r="C35" s="4" t="s">
        <v>92</v>
      </c>
      <c r="D35" s="5">
        <v>100</v>
      </c>
      <c r="E35" s="5">
        <v>20</v>
      </c>
      <c r="F35" s="4" t="s">
        <v>53</v>
      </c>
      <c r="I35" s="7">
        <v>100</v>
      </c>
      <c r="L35" s="4" t="s">
        <v>91</v>
      </c>
      <c r="O35" s="7">
        <v>100</v>
      </c>
    </row>
    <row r="36" spans="1:15" x14ac:dyDescent="0.25">
      <c r="H36" s="6" t="s">
        <v>96</v>
      </c>
      <c r="I36" s="6">
        <f>SUM(I2:I35)</f>
        <v>10100</v>
      </c>
      <c r="K36" s="6" t="s">
        <v>97</v>
      </c>
      <c r="L36" s="6">
        <f>COUNTA(L2:L35)</f>
        <v>34</v>
      </c>
      <c r="N36" s="6" t="s">
        <v>98</v>
      </c>
      <c r="O36" s="8">
        <f>AVERAGE(O2:O35)</f>
        <v>297.05882352941177</v>
      </c>
    </row>
    <row r="38" spans="1:15" x14ac:dyDescent="0.25">
      <c r="F38" s="9" t="s">
        <v>99</v>
      </c>
    </row>
    <row r="39" spans="1:15" x14ac:dyDescent="0.25">
      <c r="F39" s="9" t="s">
        <v>100</v>
      </c>
    </row>
    <row r="40" spans="1:15" x14ac:dyDescent="0.25">
      <c r="F40" s="9" t="s">
        <v>101</v>
      </c>
    </row>
    <row r="41" spans="1:15" x14ac:dyDescent="0.25">
      <c r="F41" s="9" t="s">
        <v>117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M41"/>
  <sheetViews>
    <sheetView topLeftCell="D25" workbookViewId="0">
      <selection activeCell="M36" sqref="M36"/>
    </sheetView>
  </sheetViews>
  <sheetFormatPr defaultColWidth="12.6640625" defaultRowHeight="15.75" customHeight="1" x14ac:dyDescent="0.25"/>
  <cols>
    <col min="9" max="9" width="25.44140625" customWidth="1"/>
    <col min="13" max="13" width="26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I1" s="11" t="s">
        <v>102</v>
      </c>
      <c r="M1" s="11" t="s">
        <v>103</v>
      </c>
    </row>
    <row r="2" spans="1:13" x14ac:dyDescent="0.25">
      <c r="A2" s="2" t="s">
        <v>6</v>
      </c>
      <c r="B2" s="2" t="s">
        <v>7</v>
      </c>
      <c r="C2" s="2" t="s">
        <v>8</v>
      </c>
      <c r="D2" s="3">
        <v>1000</v>
      </c>
      <c r="E2" s="3">
        <v>30</v>
      </c>
      <c r="F2" s="2" t="s">
        <v>9</v>
      </c>
      <c r="I2" s="7">
        <v>1000</v>
      </c>
      <c r="M2" s="7">
        <v>1000</v>
      </c>
    </row>
    <row r="3" spans="1:13" x14ac:dyDescent="0.25">
      <c r="A3" s="4" t="s">
        <v>10</v>
      </c>
      <c r="B3" s="4" t="s">
        <v>11</v>
      </c>
      <c r="C3" s="4" t="s">
        <v>12</v>
      </c>
      <c r="D3" s="5">
        <v>80</v>
      </c>
      <c r="E3" s="5">
        <v>15</v>
      </c>
      <c r="F3" s="4" t="s">
        <v>13</v>
      </c>
      <c r="I3" s="7">
        <v>80</v>
      </c>
      <c r="M3" s="7">
        <v>80</v>
      </c>
    </row>
    <row r="4" spans="1:13" x14ac:dyDescent="0.25">
      <c r="A4" s="2" t="s">
        <v>14</v>
      </c>
      <c r="B4" s="2" t="s">
        <v>15</v>
      </c>
      <c r="C4" s="2" t="s">
        <v>16</v>
      </c>
      <c r="D4" s="3">
        <v>130</v>
      </c>
      <c r="E4" s="3">
        <v>40</v>
      </c>
      <c r="F4" s="2" t="s">
        <v>17</v>
      </c>
      <c r="I4" s="7">
        <v>130</v>
      </c>
      <c r="M4" s="7">
        <v>130</v>
      </c>
    </row>
    <row r="5" spans="1:13" x14ac:dyDescent="0.25">
      <c r="A5" s="4" t="s">
        <v>18</v>
      </c>
      <c r="B5" s="4" t="s">
        <v>19</v>
      </c>
      <c r="C5" s="4" t="s">
        <v>20</v>
      </c>
      <c r="D5" s="5">
        <v>900</v>
      </c>
      <c r="E5" s="5">
        <v>25</v>
      </c>
      <c r="F5" s="4" t="s">
        <v>9</v>
      </c>
      <c r="I5" s="7">
        <v>900</v>
      </c>
      <c r="M5" s="7">
        <v>900</v>
      </c>
    </row>
    <row r="6" spans="1:13" x14ac:dyDescent="0.25">
      <c r="A6" s="2" t="s">
        <v>21</v>
      </c>
      <c r="B6" s="2" t="s">
        <v>22</v>
      </c>
      <c r="C6" s="2" t="s">
        <v>23</v>
      </c>
      <c r="D6" s="3">
        <v>70</v>
      </c>
      <c r="E6" s="3">
        <v>20</v>
      </c>
      <c r="F6" s="2" t="s">
        <v>24</v>
      </c>
      <c r="I6" s="7">
        <v>70</v>
      </c>
      <c r="M6" s="7">
        <v>70</v>
      </c>
    </row>
    <row r="7" spans="1:13" x14ac:dyDescent="0.25">
      <c r="A7" s="4" t="s">
        <v>25</v>
      </c>
      <c r="B7" s="4" t="s">
        <v>26</v>
      </c>
      <c r="C7" s="4" t="s">
        <v>27</v>
      </c>
      <c r="D7" s="5">
        <v>200</v>
      </c>
      <c r="E7" s="5">
        <v>45</v>
      </c>
      <c r="F7" s="4" t="s">
        <v>9</v>
      </c>
      <c r="I7" s="7">
        <v>200</v>
      </c>
      <c r="M7" s="7">
        <v>200</v>
      </c>
    </row>
    <row r="8" spans="1:13" x14ac:dyDescent="0.25">
      <c r="A8" s="2" t="s">
        <v>28</v>
      </c>
      <c r="B8" s="2" t="s">
        <v>29</v>
      </c>
      <c r="C8" s="2" t="s">
        <v>30</v>
      </c>
      <c r="D8" s="3">
        <v>30</v>
      </c>
      <c r="E8" s="3">
        <v>5</v>
      </c>
      <c r="F8" s="2" t="s">
        <v>13</v>
      </c>
      <c r="I8" s="7">
        <v>30</v>
      </c>
      <c r="M8" s="7">
        <v>30</v>
      </c>
    </row>
    <row r="9" spans="1:13" x14ac:dyDescent="0.25">
      <c r="A9" s="4" t="s">
        <v>31</v>
      </c>
      <c r="B9" s="4" t="s">
        <v>32</v>
      </c>
      <c r="C9" s="4" t="s">
        <v>33</v>
      </c>
      <c r="D9" s="5">
        <v>90</v>
      </c>
      <c r="E9" s="5">
        <v>35</v>
      </c>
      <c r="F9" s="4" t="s">
        <v>17</v>
      </c>
      <c r="I9" s="7">
        <v>90</v>
      </c>
      <c r="M9" s="7">
        <v>90</v>
      </c>
    </row>
    <row r="10" spans="1:13" x14ac:dyDescent="0.25">
      <c r="A10" s="2" t="s">
        <v>34</v>
      </c>
      <c r="B10" s="2" t="s">
        <v>35</v>
      </c>
      <c r="C10" s="2" t="s">
        <v>36</v>
      </c>
      <c r="D10" s="3">
        <v>500</v>
      </c>
      <c r="E10" s="3">
        <v>50</v>
      </c>
      <c r="F10" s="2" t="s">
        <v>9</v>
      </c>
      <c r="I10" s="7">
        <v>500</v>
      </c>
      <c r="M10" s="7">
        <v>500</v>
      </c>
    </row>
    <row r="11" spans="1:13" x14ac:dyDescent="0.25">
      <c r="A11" s="4" t="s">
        <v>37</v>
      </c>
      <c r="B11" s="4" t="s">
        <v>38</v>
      </c>
      <c r="C11" s="4" t="s">
        <v>39</v>
      </c>
      <c r="D11" s="5">
        <v>130</v>
      </c>
      <c r="E11" s="5">
        <v>10</v>
      </c>
      <c r="F11" s="4" t="s">
        <v>24</v>
      </c>
      <c r="I11" s="7">
        <v>130</v>
      </c>
      <c r="M11" s="7">
        <v>130</v>
      </c>
    </row>
    <row r="12" spans="1:13" x14ac:dyDescent="0.25">
      <c r="A12" s="2" t="s">
        <v>40</v>
      </c>
      <c r="B12" s="2" t="s">
        <v>7</v>
      </c>
      <c r="C12" s="2" t="s">
        <v>41</v>
      </c>
      <c r="D12" s="3">
        <v>950</v>
      </c>
      <c r="E12" s="3">
        <v>25</v>
      </c>
      <c r="F12" s="2" t="s">
        <v>9</v>
      </c>
      <c r="I12" s="7">
        <v>950</v>
      </c>
      <c r="M12" s="7">
        <v>950</v>
      </c>
    </row>
    <row r="13" spans="1:13" x14ac:dyDescent="0.25">
      <c r="A13" s="4" t="s">
        <v>42</v>
      </c>
      <c r="B13" s="4" t="s">
        <v>11</v>
      </c>
      <c r="C13" s="4" t="s">
        <v>30</v>
      </c>
      <c r="D13" s="5">
        <v>90</v>
      </c>
      <c r="E13" s="5">
        <v>40</v>
      </c>
      <c r="F13" s="4" t="s">
        <v>13</v>
      </c>
      <c r="I13" s="7">
        <v>90</v>
      </c>
      <c r="M13" s="7">
        <v>90</v>
      </c>
    </row>
    <row r="14" spans="1:13" x14ac:dyDescent="0.25">
      <c r="A14" s="2" t="s">
        <v>43</v>
      </c>
      <c r="B14" s="2" t="s">
        <v>15</v>
      </c>
      <c r="C14" s="2" t="s">
        <v>44</v>
      </c>
      <c r="D14" s="3">
        <v>120</v>
      </c>
      <c r="E14" s="3">
        <v>35</v>
      </c>
      <c r="F14" s="2" t="s">
        <v>17</v>
      </c>
      <c r="I14" s="7">
        <v>120</v>
      </c>
      <c r="M14" s="7">
        <v>120</v>
      </c>
    </row>
    <row r="15" spans="1:13" x14ac:dyDescent="0.25">
      <c r="A15" s="4" t="s">
        <v>45</v>
      </c>
      <c r="B15" s="4" t="s">
        <v>46</v>
      </c>
      <c r="C15" s="4" t="s">
        <v>47</v>
      </c>
      <c r="D15" s="5">
        <v>150</v>
      </c>
      <c r="E15" s="5">
        <v>15</v>
      </c>
      <c r="F15" s="4" t="s">
        <v>9</v>
      </c>
      <c r="I15" s="7">
        <v>150</v>
      </c>
      <c r="M15" s="7">
        <v>150</v>
      </c>
    </row>
    <row r="16" spans="1:13" x14ac:dyDescent="0.25">
      <c r="A16" s="2" t="s">
        <v>48</v>
      </c>
      <c r="B16" s="2" t="s">
        <v>26</v>
      </c>
      <c r="C16" s="2" t="s">
        <v>49</v>
      </c>
      <c r="D16" s="3">
        <v>250</v>
      </c>
      <c r="E16" s="3">
        <v>20</v>
      </c>
      <c r="F16" s="2" t="s">
        <v>9</v>
      </c>
      <c r="I16" s="7">
        <v>250</v>
      </c>
      <c r="M16" s="7">
        <v>250</v>
      </c>
    </row>
    <row r="17" spans="1:13" x14ac:dyDescent="0.25">
      <c r="A17" s="4" t="s">
        <v>50</v>
      </c>
      <c r="B17" s="4" t="s">
        <v>51</v>
      </c>
      <c r="C17" s="4" t="s">
        <v>52</v>
      </c>
      <c r="D17" s="5">
        <v>50</v>
      </c>
      <c r="E17" s="5">
        <v>35</v>
      </c>
      <c r="F17" s="4" t="s">
        <v>53</v>
      </c>
      <c r="I17" s="7">
        <v>50</v>
      </c>
      <c r="M17" s="7">
        <v>50</v>
      </c>
    </row>
    <row r="18" spans="1:13" x14ac:dyDescent="0.25">
      <c r="A18" s="2" t="s">
        <v>54</v>
      </c>
      <c r="B18" s="2" t="s">
        <v>46</v>
      </c>
      <c r="C18" s="2" t="s">
        <v>55</v>
      </c>
      <c r="D18" s="3">
        <v>160</v>
      </c>
      <c r="E18" s="3">
        <v>15</v>
      </c>
      <c r="F18" s="2" t="s">
        <v>9</v>
      </c>
      <c r="I18" s="7">
        <v>160</v>
      </c>
      <c r="M18" s="7">
        <v>160</v>
      </c>
    </row>
    <row r="19" spans="1:13" x14ac:dyDescent="0.25">
      <c r="A19" s="4" t="s">
        <v>56</v>
      </c>
      <c r="B19" s="4" t="s">
        <v>7</v>
      </c>
      <c r="C19" s="4" t="s">
        <v>57</v>
      </c>
      <c r="D19" s="5">
        <v>980</v>
      </c>
      <c r="E19" s="5">
        <v>10</v>
      </c>
      <c r="F19" s="4" t="s">
        <v>9</v>
      </c>
      <c r="I19" s="7">
        <v>980</v>
      </c>
      <c r="M19" s="7">
        <v>980</v>
      </c>
    </row>
    <row r="20" spans="1:13" x14ac:dyDescent="0.25">
      <c r="A20" s="2" t="s">
        <v>58</v>
      </c>
      <c r="B20" s="2" t="s">
        <v>59</v>
      </c>
      <c r="C20" s="2" t="s">
        <v>60</v>
      </c>
      <c r="D20" s="3">
        <v>150</v>
      </c>
      <c r="E20" s="3">
        <v>15</v>
      </c>
      <c r="F20" s="2" t="s">
        <v>13</v>
      </c>
      <c r="I20" s="7">
        <v>150</v>
      </c>
      <c r="M20" s="7">
        <v>150</v>
      </c>
    </row>
    <row r="21" spans="1:13" x14ac:dyDescent="0.25">
      <c r="A21" s="4" t="s">
        <v>61</v>
      </c>
      <c r="B21" s="4" t="s">
        <v>62</v>
      </c>
      <c r="C21" s="4" t="s">
        <v>63</v>
      </c>
      <c r="D21" s="5">
        <v>200</v>
      </c>
      <c r="E21" s="5">
        <v>10</v>
      </c>
      <c r="F21" s="4" t="s">
        <v>24</v>
      </c>
      <c r="I21" s="7">
        <v>200</v>
      </c>
      <c r="M21" s="7">
        <v>200</v>
      </c>
    </row>
    <row r="22" spans="1:13" x14ac:dyDescent="0.25">
      <c r="A22" s="2" t="s">
        <v>64</v>
      </c>
      <c r="B22" s="2" t="s">
        <v>65</v>
      </c>
      <c r="C22" s="2" t="s">
        <v>66</v>
      </c>
      <c r="D22" s="3">
        <v>700</v>
      </c>
      <c r="E22" s="3">
        <v>50</v>
      </c>
      <c r="F22" s="2" t="s">
        <v>9</v>
      </c>
      <c r="I22" s="7">
        <v>700</v>
      </c>
      <c r="M22" s="7">
        <v>700</v>
      </c>
    </row>
    <row r="23" spans="1:13" x14ac:dyDescent="0.25">
      <c r="A23" s="4" t="s">
        <v>67</v>
      </c>
      <c r="B23" s="4" t="s">
        <v>68</v>
      </c>
      <c r="C23" s="4" t="s">
        <v>69</v>
      </c>
      <c r="D23" s="5">
        <v>80</v>
      </c>
      <c r="E23" s="5">
        <v>20</v>
      </c>
      <c r="F23" s="4" t="s">
        <v>17</v>
      </c>
      <c r="I23" s="7">
        <v>80</v>
      </c>
      <c r="M23" s="7">
        <v>80</v>
      </c>
    </row>
    <row r="24" spans="1:13" x14ac:dyDescent="0.25">
      <c r="A24" s="2" t="s">
        <v>70</v>
      </c>
      <c r="B24" s="2" t="s">
        <v>71</v>
      </c>
      <c r="C24" s="2" t="s">
        <v>72</v>
      </c>
      <c r="D24" s="3">
        <v>150</v>
      </c>
      <c r="E24" s="3">
        <v>30</v>
      </c>
      <c r="F24" s="2" t="s">
        <v>9</v>
      </c>
      <c r="I24" s="7">
        <v>150</v>
      </c>
      <c r="M24" s="7">
        <v>150</v>
      </c>
    </row>
    <row r="25" spans="1:13" x14ac:dyDescent="0.25">
      <c r="A25" s="4" t="s">
        <v>50</v>
      </c>
      <c r="B25" s="4" t="s">
        <v>51</v>
      </c>
      <c r="C25" s="4" t="s">
        <v>52</v>
      </c>
      <c r="D25" s="5">
        <v>50</v>
      </c>
      <c r="E25" s="5">
        <v>35</v>
      </c>
      <c r="F25" s="4" t="s">
        <v>53</v>
      </c>
      <c r="I25" s="7">
        <v>50</v>
      </c>
      <c r="M25" s="7">
        <v>50</v>
      </c>
    </row>
    <row r="26" spans="1:13" x14ac:dyDescent="0.25">
      <c r="A26" s="2" t="s">
        <v>73</v>
      </c>
      <c r="B26" s="2" t="s">
        <v>19</v>
      </c>
      <c r="C26" s="2" t="s">
        <v>74</v>
      </c>
      <c r="D26" s="3">
        <v>800</v>
      </c>
      <c r="E26" s="3">
        <v>45</v>
      </c>
      <c r="F26" s="2" t="s">
        <v>9</v>
      </c>
      <c r="I26" s="7">
        <v>800</v>
      </c>
      <c r="M26" s="7">
        <v>800</v>
      </c>
    </row>
    <row r="27" spans="1:13" x14ac:dyDescent="0.25">
      <c r="A27" s="4" t="s">
        <v>75</v>
      </c>
      <c r="B27" s="4" t="s">
        <v>59</v>
      </c>
      <c r="C27" s="4" t="s">
        <v>76</v>
      </c>
      <c r="D27" s="5">
        <v>130</v>
      </c>
      <c r="E27" s="5">
        <v>25</v>
      </c>
      <c r="F27" s="4" t="s">
        <v>13</v>
      </c>
      <c r="I27" s="7">
        <v>130</v>
      </c>
      <c r="M27" s="7">
        <v>130</v>
      </c>
    </row>
    <row r="28" spans="1:13" x14ac:dyDescent="0.25">
      <c r="A28" s="2" t="s">
        <v>77</v>
      </c>
      <c r="B28" s="2" t="s">
        <v>32</v>
      </c>
      <c r="C28" s="2" t="s">
        <v>78</v>
      </c>
      <c r="D28" s="3">
        <v>400</v>
      </c>
      <c r="E28" s="3">
        <v>40</v>
      </c>
      <c r="F28" s="2" t="s">
        <v>17</v>
      </c>
      <c r="I28" s="7">
        <v>400</v>
      </c>
      <c r="M28" s="7">
        <v>400</v>
      </c>
    </row>
    <row r="29" spans="1:13" x14ac:dyDescent="0.25">
      <c r="A29" s="4" t="s">
        <v>48</v>
      </c>
      <c r="B29" s="4" t="s">
        <v>26</v>
      </c>
      <c r="C29" s="4" t="s">
        <v>49</v>
      </c>
      <c r="D29" s="5">
        <v>230</v>
      </c>
      <c r="E29" s="5">
        <v>20</v>
      </c>
      <c r="F29" s="4" t="s">
        <v>9</v>
      </c>
      <c r="I29" s="7">
        <v>230</v>
      </c>
      <c r="M29" s="7">
        <v>230</v>
      </c>
    </row>
    <row r="30" spans="1:13" x14ac:dyDescent="0.25">
      <c r="A30" s="2" t="s">
        <v>79</v>
      </c>
      <c r="B30" s="2" t="s">
        <v>80</v>
      </c>
      <c r="C30" s="2" t="s">
        <v>81</v>
      </c>
      <c r="D30" s="3">
        <v>60</v>
      </c>
      <c r="E30" s="3">
        <v>30</v>
      </c>
      <c r="F30" s="2" t="s">
        <v>13</v>
      </c>
      <c r="I30" s="7">
        <v>60</v>
      </c>
      <c r="M30" s="7">
        <v>60</v>
      </c>
    </row>
    <row r="31" spans="1:13" x14ac:dyDescent="0.25">
      <c r="A31" s="4" t="s">
        <v>82</v>
      </c>
      <c r="B31" s="4" t="s">
        <v>83</v>
      </c>
      <c r="C31" s="4" t="s">
        <v>84</v>
      </c>
      <c r="D31" s="5">
        <v>40</v>
      </c>
      <c r="E31" s="5">
        <v>10</v>
      </c>
      <c r="F31" s="4" t="s">
        <v>17</v>
      </c>
      <c r="I31" s="7">
        <v>40</v>
      </c>
      <c r="M31" s="7">
        <v>40</v>
      </c>
    </row>
    <row r="32" spans="1:13" x14ac:dyDescent="0.25">
      <c r="A32" s="2" t="s">
        <v>85</v>
      </c>
      <c r="B32" s="2" t="s">
        <v>71</v>
      </c>
      <c r="C32" s="2" t="s">
        <v>86</v>
      </c>
      <c r="D32" s="3">
        <v>130</v>
      </c>
      <c r="E32" s="3">
        <v>5</v>
      </c>
      <c r="F32" s="2" t="s">
        <v>9</v>
      </c>
      <c r="I32" s="7">
        <v>130</v>
      </c>
      <c r="M32" s="7">
        <v>130</v>
      </c>
    </row>
    <row r="33" spans="1:13" x14ac:dyDescent="0.25">
      <c r="A33" s="4" t="s">
        <v>87</v>
      </c>
      <c r="B33" s="4" t="s">
        <v>88</v>
      </c>
      <c r="C33" s="4" t="s">
        <v>89</v>
      </c>
      <c r="D33" s="5">
        <v>50</v>
      </c>
      <c r="E33" s="5">
        <v>50</v>
      </c>
      <c r="F33" s="4" t="s">
        <v>13</v>
      </c>
      <c r="I33" s="7">
        <v>50</v>
      </c>
      <c r="M33" s="7">
        <v>50</v>
      </c>
    </row>
    <row r="34" spans="1:13" x14ac:dyDescent="0.25">
      <c r="A34" s="2" t="s">
        <v>40</v>
      </c>
      <c r="B34" s="2" t="s">
        <v>7</v>
      </c>
      <c r="C34" s="2" t="s">
        <v>41</v>
      </c>
      <c r="D34" s="3">
        <v>950</v>
      </c>
      <c r="E34" s="3">
        <v>25</v>
      </c>
      <c r="F34" s="2" t="s">
        <v>9</v>
      </c>
      <c r="I34" s="7">
        <v>950</v>
      </c>
      <c r="M34" s="7">
        <v>950</v>
      </c>
    </row>
    <row r="35" spans="1:13" x14ac:dyDescent="0.25">
      <c r="A35" s="4" t="s">
        <v>90</v>
      </c>
      <c r="B35" s="4" t="s">
        <v>91</v>
      </c>
      <c r="C35" s="4" t="s">
        <v>92</v>
      </c>
      <c r="D35" s="5">
        <v>100</v>
      </c>
      <c r="E35" s="5">
        <v>20</v>
      </c>
      <c r="F35" s="4" t="s">
        <v>53</v>
      </c>
      <c r="I35" s="7">
        <v>100</v>
      </c>
      <c r="M35" s="7">
        <v>100</v>
      </c>
    </row>
    <row r="36" spans="1:13" x14ac:dyDescent="0.25">
      <c r="H36" s="6" t="s">
        <v>104</v>
      </c>
      <c r="I36" s="6">
        <f>MIN(I2:I35)</f>
        <v>30</v>
      </c>
      <c r="L36" s="6" t="s">
        <v>105</v>
      </c>
      <c r="M36" s="6">
        <f>MAX(M2:M35)</f>
        <v>1000</v>
      </c>
    </row>
    <row r="39" spans="1:13" x14ac:dyDescent="0.25">
      <c r="F39" s="9" t="s">
        <v>99</v>
      </c>
    </row>
    <row r="40" spans="1:13" x14ac:dyDescent="0.25">
      <c r="F40" s="9" t="s">
        <v>106</v>
      </c>
    </row>
    <row r="41" spans="1:13" x14ac:dyDescent="0.25">
      <c r="F41" s="12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I40"/>
  <sheetViews>
    <sheetView workbookViewId="0">
      <selection activeCell="I2" sqref="I2"/>
    </sheetView>
  </sheetViews>
  <sheetFormatPr defaultColWidth="12.6640625" defaultRowHeight="15.75" customHeight="1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I1" s="6" t="s">
        <v>107</v>
      </c>
    </row>
    <row r="2" spans="1:9" x14ac:dyDescent="0.25">
      <c r="A2" s="2" t="s">
        <v>6</v>
      </c>
      <c r="B2" s="2" t="s">
        <v>7</v>
      </c>
      <c r="C2" s="2" t="s">
        <v>8</v>
      </c>
      <c r="D2" s="3">
        <v>1000</v>
      </c>
      <c r="E2" s="3">
        <v>30</v>
      </c>
      <c r="F2" s="2" t="s">
        <v>9</v>
      </c>
      <c r="I2" s="7" t="str">
        <f t="shared" ref="I2:I35" si="0">IF(D2&gt;=500,"High Price", IF(D2&lt;500, "Standard Price"))</f>
        <v>High Price</v>
      </c>
    </row>
    <row r="3" spans="1:9" x14ac:dyDescent="0.25">
      <c r="A3" s="4" t="s">
        <v>10</v>
      </c>
      <c r="B3" s="4" t="s">
        <v>11</v>
      </c>
      <c r="C3" s="4" t="s">
        <v>12</v>
      </c>
      <c r="D3" s="5">
        <v>80</v>
      </c>
      <c r="E3" s="5">
        <v>15</v>
      </c>
      <c r="F3" s="4" t="s">
        <v>13</v>
      </c>
      <c r="I3" s="7" t="str">
        <f t="shared" si="0"/>
        <v>Standard Price</v>
      </c>
    </row>
    <row r="4" spans="1:9" x14ac:dyDescent="0.25">
      <c r="A4" s="2" t="s">
        <v>14</v>
      </c>
      <c r="B4" s="2" t="s">
        <v>15</v>
      </c>
      <c r="C4" s="2" t="s">
        <v>16</v>
      </c>
      <c r="D4" s="3">
        <v>130</v>
      </c>
      <c r="E4" s="3">
        <v>40</v>
      </c>
      <c r="F4" s="2" t="s">
        <v>17</v>
      </c>
      <c r="I4" s="7" t="str">
        <f t="shared" si="0"/>
        <v>Standard Price</v>
      </c>
    </row>
    <row r="5" spans="1:9" x14ac:dyDescent="0.25">
      <c r="A5" s="4" t="s">
        <v>18</v>
      </c>
      <c r="B5" s="4" t="s">
        <v>19</v>
      </c>
      <c r="C5" s="4" t="s">
        <v>20</v>
      </c>
      <c r="D5" s="5">
        <v>900</v>
      </c>
      <c r="E5" s="5">
        <v>25</v>
      </c>
      <c r="F5" s="4" t="s">
        <v>9</v>
      </c>
      <c r="I5" s="7" t="str">
        <f t="shared" si="0"/>
        <v>High Price</v>
      </c>
    </row>
    <row r="6" spans="1:9" x14ac:dyDescent="0.25">
      <c r="A6" s="2" t="s">
        <v>21</v>
      </c>
      <c r="B6" s="2" t="s">
        <v>22</v>
      </c>
      <c r="C6" s="2" t="s">
        <v>23</v>
      </c>
      <c r="D6" s="3">
        <v>70</v>
      </c>
      <c r="E6" s="3">
        <v>20</v>
      </c>
      <c r="F6" s="2" t="s">
        <v>24</v>
      </c>
      <c r="I6" s="7" t="str">
        <f t="shared" si="0"/>
        <v>Standard Price</v>
      </c>
    </row>
    <row r="7" spans="1:9" x14ac:dyDescent="0.25">
      <c r="A7" s="4" t="s">
        <v>25</v>
      </c>
      <c r="B7" s="4" t="s">
        <v>26</v>
      </c>
      <c r="C7" s="4" t="s">
        <v>27</v>
      </c>
      <c r="D7" s="5">
        <v>200</v>
      </c>
      <c r="E7" s="5">
        <v>45</v>
      </c>
      <c r="F7" s="4" t="s">
        <v>9</v>
      </c>
      <c r="I7" s="7" t="str">
        <f t="shared" si="0"/>
        <v>Standard Price</v>
      </c>
    </row>
    <row r="8" spans="1:9" x14ac:dyDescent="0.25">
      <c r="A8" s="2" t="s">
        <v>28</v>
      </c>
      <c r="B8" s="2" t="s">
        <v>29</v>
      </c>
      <c r="C8" s="2" t="s">
        <v>30</v>
      </c>
      <c r="D8" s="3">
        <v>30</v>
      </c>
      <c r="E8" s="3">
        <v>5</v>
      </c>
      <c r="F8" s="2" t="s">
        <v>13</v>
      </c>
      <c r="I8" s="7" t="str">
        <f t="shared" si="0"/>
        <v>Standard Price</v>
      </c>
    </row>
    <row r="9" spans="1:9" x14ac:dyDescent="0.25">
      <c r="A9" s="4" t="s">
        <v>31</v>
      </c>
      <c r="B9" s="4" t="s">
        <v>32</v>
      </c>
      <c r="C9" s="4" t="s">
        <v>33</v>
      </c>
      <c r="D9" s="5">
        <v>90</v>
      </c>
      <c r="E9" s="5">
        <v>35</v>
      </c>
      <c r="F9" s="4" t="s">
        <v>17</v>
      </c>
      <c r="I9" s="7" t="str">
        <f t="shared" si="0"/>
        <v>Standard Price</v>
      </c>
    </row>
    <row r="10" spans="1:9" x14ac:dyDescent="0.25">
      <c r="A10" s="2" t="s">
        <v>34</v>
      </c>
      <c r="B10" s="2" t="s">
        <v>35</v>
      </c>
      <c r="C10" s="2" t="s">
        <v>36</v>
      </c>
      <c r="D10" s="3">
        <v>500</v>
      </c>
      <c r="E10" s="3">
        <v>50</v>
      </c>
      <c r="F10" s="2" t="s">
        <v>9</v>
      </c>
      <c r="I10" s="7" t="str">
        <f t="shared" si="0"/>
        <v>High Price</v>
      </c>
    </row>
    <row r="11" spans="1:9" x14ac:dyDescent="0.25">
      <c r="A11" s="4" t="s">
        <v>37</v>
      </c>
      <c r="B11" s="4" t="s">
        <v>38</v>
      </c>
      <c r="C11" s="4" t="s">
        <v>39</v>
      </c>
      <c r="D11" s="5">
        <v>130</v>
      </c>
      <c r="E11" s="5">
        <v>10</v>
      </c>
      <c r="F11" s="4" t="s">
        <v>24</v>
      </c>
      <c r="I11" s="7" t="str">
        <f t="shared" si="0"/>
        <v>Standard Price</v>
      </c>
    </row>
    <row r="12" spans="1:9" x14ac:dyDescent="0.25">
      <c r="A12" s="2" t="s">
        <v>40</v>
      </c>
      <c r="B12" s="2" t="s">
        <v>7</v>
      </c>
      <c r="C12" s="2" t="s">
        <v>41</v>
      </c>
      <c r="D12" s="3">
        <v>950</v>
      </c>
      <c r="E12" s="3">
        <v>25</v>
      </c>
      <c r="F12" s="2" t="s">
        <v>9</v>
      </c>
      <c r="I12" s="7" t="str">
        <f t="shared" si="0"/>
        <v>High Price</v>
      </c>
    </row>
    <row r="13" spans="1:9" x14ac:dyDescent="0.25">
      <c r="A13" s="4" t="s">
        <v>42</v>
      </c>
      <c r="B13" s="4" t="s">
        <v>11</v>
      </c>
      <c r="C13" s="4" t="s">
        <v>30</v>
      </c>
      <c r="D13" s="5">
        <v>90</v>
      </c>
      <c r="E13" s="5">
        <v>40</v>
      </c>
      <c r="F13" s="4" t="s">
        <v>13</v>
      </c>
      <c r="I13" s="7" t="str">
        <f t="shared" si="0"/>
        <v>Standard Price</v>
      </c>
    </row>
    <row r="14" spans="1:9" x14ac:dyDescent="0.25">
      <c r="A14" s="2" t="s">
        <v>43</v>
      </c>
      <c r="B14" s="2" t="s">
        <v>15</v>
      </c>
      <c r="C14" s="2" t="s">
        <v>44</v>
      </c>
      <c r="D14" s="3">
        <v>120</v>
      </c>
      <c r="E14" s="3">
        <v>35</v>
      </c>
      <c r="F14" s="2" t="s">
        <v>17</v>
      </c>
      <c r="I14" s="7" t="str">
        <f t="shared" si="0"/>
        <v>Standard Price</v>
      </c>
    </row>
    <row r="15" spans="1:9" x14ac:dyDescent="0.25">
      <c r="A15" s="4" t="s">
        <v>45</v>
      </c>
      <c r="B15" s="4" t="s">
        <v>46</v>
      </c>
      <c r="C15" s="4" t="s">
        <v>47</v>
      </c>
      <c r="D15" s="5">
        <v>150</v>
      </c>
      <c r="E15" s="5">
        <v>15</v>
      </c>
      <c r="F15" s="4" t="s">
        <v>9</v>
      </c>
      <c r="I15" s="7" t="str">
        <f t="shared" si="0"/>
        <v>Standard Price</v>
      </c>
    </row>
    <row r="16" spans="1:9" x14ac:dyDescent="0.25">
      <c r="A16" s="2" t="s">
        <v>48</v>
      </c>
      <c r="B16" s="2" t="s">
        <v>26</v>
      </c>
      <c r="C16" s="2" t="s">
        <v>49</v>
      </c>
      <c r="D16" s="3">
        <v>250</v>
      </c>
      <c r="E16" s="3">
        <v>20</v>
      </c>
      <c r="F16" s="2" t="s">
        <v>9</v>
      </c>
      <c r="I16" s="7" t="str">
        <f t="shared" si="0"/>
        <v>Standard Price</v>
      </c>
    </row>
    <row r="17" spans="1:9" x14ac:dyDescent="0.25">
      <c r="A17" s="4" t="s">
        <v>50</v>
      </c>
      <c r="B17" s="4" t="s">
        <v>51</v>
      </c>
      <c r="C17" s="4" t="s">
        <v>52</v>
      </c>
      <c r="D17" s="5">
        <v>50</v>
      </c>
      <c r="E17" s="5">
        <v>35</v>
      </c>
      <c r="F17" s="4" t="s">
        <v>53</v>
      </c>
      <c r="I17" s="7" t="str">
        <f t="shared" si="0"/>
        <v>Standard Price</v>
      </c>
    </row>
    <row r="18" spans="1:9" x14ac:dyDescent="0.25">
      <c r="A18" s="2" t="s">
        <v>54</v>
      </c>
      <c r="B18" s="2" t="s">
        <v>46</v>
      </c>
      <c r="C18" s="2" t="s">
        <v>55</v>
      </c>
      <c r="D18" s="3">
        <v>160</v>
      </c>
      <c r="E18" s="3">
        <v>15</v>
      </c>
      <c r="F18" s="2" t="s">
        <v>9</v>
      </c>
      <c r="I18" s="7" t="str">
        <f t="shared" si="0"/>
        <v>Standard Price</v>
      </c>
    </row>
    <row r="19" spans="1:9" x14ac:dyDescent="0.25">
      <c r="A19" s="4" t="s">
        <v>56</v>
      </c>
      <c r="B19" s="4" t="s">
        <v>7</v>
      </c>
      <c r="C19" s="4" t="s">
        <v>57</v>
      </c>
      <c r="D19" s="5">
        <v>980</v>
      </c>
      <c r="E19" s="5">
        <v>10</v>
      </c>
      <c r="F19" s="4" t="s">
        <v>9</v>
      </c>
      <c r="I19" s="7" t="str">
        <f t="shared" si="0"/>
        <v>High Price</v>
      </c>
    </row>
    <row r="20" spans="1:9" x14ac:dyDescent="0.25">
      <c r="A20" s="2" t="s">
        <v>58</v>
      </c>
      <c r="B20" s="2" t="s">
        <v>59</v>
      </c>
      <c r="C20" s="2" t="s">
        <v>60</v>
      </c>
      <c r="D20" s="3">
        <v>150</v>
      </c>
      <c r="E20" s="3">
        <v>15</v>
      </c>
      <c r="F20" s="2" t="s">
        <v>13</v>
      </c>
      <c r="I20" s="7" t="str">
        <f t="shared" si="0"/>
        <v>Standard Price</v>
      </c>
    </row>
    <row r="21" spans="1:9" x14ac:dyDescent="0.25">
      <c r="A21" s="4" t="s">
        <v>61</v>
      </c>
      <c r="B21" s="4" t="s">
        <v>62</v>
      </c>
      <c r="C21" s="4" t="s">
        <v>63</v>
      </c>
      <c r="D21" s="5">
        <v>200</v>
      </c>
      <c r="E21" s="5">
        <v>10</v>
      </c>
      <c r="F21" s="4" t="s">
        <v>24</v>
      </c>
      <c r="I21" s="7" t="str">
        <f t="shared" si="0"/>
        <v>Standard Price</v>
      </c>
    </row>
    <row r="22" spans="1:9" x14ac:dyDescent="0.25">
      <c r="A22" s="2" t="s">
        <v>64</v>
      </c>
      <c r="B22" s="2" t="s">
        <v>65</v>
      </c>
      <c r="C22" s="2" t="s">
        <v>66</v>
      </c>
      <c r="D22" s="3">
        <v>700</v>
      </c>
      <c r="E22" s="3">
        <v>50</v>
      </c>
      <c r="F22" s="2" t="s">
        <v>9</v>
      </c>
      <c r="I22" s="7" t="str">
        <f t="shared" si="0"/>
        <v>High Price</v>
      </c>
    </row>
    <row r="23" spans="1:9" x14ac:dyDescent="0.25">
      <c r="A23" s="4" t="s">
        <v>67</v>
      </c>
      <c r="B23" s="4" t="s">
        <v>68</v>
      </c>
      <c r="C23" s="4" t="s">
        <v>69</v>
      </c>
      <c r="D23" s="5">
        <v>80</v>
      </c>
      <c r="E23" s="5">
        <v>20</v>
      </c>
      <c r="F23" s="4" t="s">
        <v>17</v>
      </c>
      <c r="I23" s="7" t="str">
        <f t="shared" si="0"/>
        <v>Standard Price</v>
      </c>
    </row>
    <row r="24" spans="1:9" x14ac:dyDescent="0.25">
      <c r="A24" s="2" t="s">
        <v>70</v>
      </c>
      <c r="B24" s="2" t="s">
        <v>71</v>
      </c>
      <c r="C24" s="2" t="s">
        <v>72</v>
      </c>
      <c r="D24" s="3">
        <v>150</v>
      </c>
      <c r="E24" s="3">
        <v>30</v>
      </c>
      <c r="F24" s="2" t="s">
        <v>9</v>
      </c>
      <c r="I24" s="7" t="str">
        <f t="shared" si="0"/>
        <v>Standard Price</v>
      </c>
    </row>
    <row r="25" spans="1:9" x14ac:dyDescent="0.25">
      <c r="A25" s="4" t="s">
        <v>50</v>
      </c>
      <c r="B25" s="4" t="s">
        <v>51</v>
      </c>
      <c r="C25" s="4" t="s">
        <v>52</v>
      </c>
      <c r="D25" s="5">
        <v>50</v>
      </c>
      <c r="E25" s="5">
        <v>35</v>
      </c>
      <c r="F25" s="4" t="s">
        <v>53</v>
      </c>
      <c r="I25" s="7" t="str">
        <f t="shared" si="0"/>
        <v>Standard Price</v>
      </c>
    </row>
    <row r="26" spans="1:9" x14ac:dyDescent="0.25">
      <c r="A26" s="2" t="s">
        <v>73</v>
      </c>
      <c r="B26" s="2" t="s">
        <v>19</v>
      </c>
      <c r="C26" s="2" t="s">
        <v>74</v>
      </c>
      <c r="D26" s="3">
        <v>800</v>
      </c>
      <c r="E26" s="3">
        <v>45</v>
      </c>
      <c r="F26" s="2" t="s">
        <v>9</v>
      </c>
      <c r="I26" s="7" t="str">
        <f t="shared" si="0"/>
        <v>High Price</v>
      </c>
    </row>
    <row r="27" spans="1:9" x14ac:dyDescent="0.25">
      <c r="A27" s="4" t="s">
        <v>75</v>
      </c>
      <c r="B27" s="4" t="s">
        <v>59</v>
      </c>
      <c r="C27" s="4" t="s">
        <v>76</v>
      </c>
      <c r="D27" s="5">
        <v>130</v>
      </c>
      <c r="E27" s="5">
        <v>25</v>
      </c>
      <c r="F27" s="4" t="s">
        <v>13</v>
      </c>
      <c r="I27" s="7" t="str">
        <f t="shared" si="0"/>
        <v>Standard Price</v>
      </c>
    </row>
    <row r="28" spans="1:9" x14ac:dyDescent="0.25">
      <c r="A28" s="2" t="s">
        <v>77</v>
      </c>
      <c r="B28" s="2" t="s">
        <v>32</v>
      </c>
      <c r="C28" s="2" t="s">
        <v>78</v>
      </c>
      <c r="D28" s="3">
        <v>400</v>
      </c>
      <c r="E28" s="3">
        <v>40</v>
      </c>
      <c r="F28" s="2" t="s">
        <v>17</v>
      </c>
      <c r="I28" s="7" t="str">
        <f t="shared" si="0"/>
        <v>Standard Price</v>
      </c>
    </row>
    <row r="29" spans="1:9" x14ac:dyDescent="0.25">
      <c r="A29" s="4" t="s">
        <v>48</v>
      </c>
      <c r="B29" s="4" t="s">
        <v>26</v>
      </c>
      <c r="C29" s="4" t="s">
        <v>49</v>
      </c>
      <c r="D29" s="5">
        <v>230</v>
      </c>
      <c r="E29" s="5">
        <v>20</v>
      </c>
      <c r="F29" s="4" t="s">
        <v>9</v>
      </c>
      <c r="I29" s="7" t="str">
        <f t="shared" si="0"/>
        <v>Standard Price</v>
      </c>
    </row>
    <row r="30" spans="1:9" x14ac:dyDescent="0.25">
      <c r="A30" s="2" t="s">
        <v>79</v>
      </c>
      <c r="B30" s="2" t="s">
        <v>80</v>
      </c>
      <c r="C30" s="2" t="s">
        <v>81</v>
      </c>
      <c r="D30" s="3">
        <v>60</v>
      </c>
      <c r="E30" s="3">
        <v>30</v>
      </c>
      <c r="F30" s="2" t="s">
        <v>13</v>
      </c>
      <c r="I30" s="7" t="str">
        <f t="shared" si="0"/>
        <v>Standard Price</v>
      </c>
    </row>
    <row r="31" spans="1:9" x14ac:dyDescent="0.25">
      <c r="A31" s="4" t="s">
        <v>82</v>
      </c>
      <c r="B31" s="4" t="s">
        <v>83</v>
      </c>
      <c r="C31" s="4" t="s">
        <v>84</v>
      </c>
      <c r="D31" s="5">
        <v>40</v>
      </c>
      <c r="E31" s="5">
        <v>10</v>
      </c>
      <c r="F31" s="4" t="s">
        <v>17</v>
      </c>
      <c r="I31" s="7" t="str">
        <f t="shared" si="0"/>
        <v>Standard Price</v>
      </c>
    </row>
    <row r="32" spans="1:9" x14ac:dyDescent="0.25">
      <c r="A32" s="2" t="s">
        <v>85</v>
      </c>
      <c r="B32" s="2" t="s">
        <v>71</v>
      </c>
      <c r="C32" s="2" t="s">
        <v>86</v>
      </c>
      <c r="D32" s="3">
        <v>130</v>
      </c>
      <c r="E32" s="3">
        <v>5</v>
      </c>
      <c r="F32" s="2" t="s">
        <v>9</v>
      </c>
      <c r="I32" s="7" t="str">
        <f t="shared" si="0"/>
        <v>Standard Price</v>
      </c>
    </row>
    <row r="33" spans="1:9" x14ac:dyDescent="0.25">
      <c r="A33" s="4" t="s">
        <v>87</v>
      </c>
      <c r="B33" s="4" t="s">
        <v>88</v>
      </c>
      <c r="C33" s="4" t="s">
        <v>89</v>
      </c>
      <c r="D33" s="5">
        <v>50</v>
      </c>
      <c r="E33" s="5">
        <v>50</v>
      </c>
      <c r="F33" s="4" t="s">
        <v>13</v>
      </c>
      <c r="I33" s="7" t="str">
        <f t="shared" si="0"/>
        <v>Standard Price</v>
      </c>
    </row>
    <row r="34" spans="1:9" x14ac:dyDescent="0.25">
      <c r="A34" s="2" t="s">
        <v>40</v>
      </c>
      <c r="B34" s="2" t="s">
        <v>7</v>
      </c>
      <c r="C34" s="2" t="s">
        <v>41</v>
      </c>
      <c r="D34" s="3">
        <v>950</v>
      </c>
      <c r="E34" s="3">
        <v>25</v>
      </c>
      <c r="F34" s="2" t="s">
        <v>9</v>
      </c>
      <c r="I34" s="7" t="str">
        <f t="shared" si="0"/>
        <v>High Price</v>
      </c>
    </row>
    <row r="35" spans="1:9" x14ac:dyDescent="0.25">
      <c r="A35" s="4" t="s">
        <v>90</v>
      </c>
      <c r="B35" s="4" t="s">
        <v>91</v>
      </c>
      <c r="C35" s="4" t="s">
        <v>92</v>
      </c>
      <c r="D35" s="5">
        <v>100</v>
      </c>
      <c r="E35" s="5">
        <v>20</v>
      </c>
      <c r="F35" s="4" t="s">
        <v>53</v>
      </c>
      <c r="I35" s="7" t="str">
        <f t="shared" si="0"/>
        <v>Standard Price</v>
      </c>
    </row>
    <row r="38" spans="1:9" ht="15.75" customHeight="1" x14ac:dyDescent="0.25">
      <c r="F38" s="9" t="s">
        <v>99</v>
      </c>
    </row>
    <row r="39" spans="1:9" ht="15.75" customHeight="1" x14ac:dyDescent="0.25">
      <c r="F39" s="12" t="s">
        <v>121</v>
      </c>
    </row>
    <row r="40" spans="1:9" ht="15.75" customHeight="1" x14ac:dyDescent="0.25">
      <c r="F40" s="12" t="s">
        <v>108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K35"/>
  <sheetViews>
    <sheetView workbookViewId="0">
      <selection activeCell="K2" sqref="K2"/>
    </sheetView>
  </sheetViews>
  <sheetFormatPr defaultColWidth="12.6640625" defaultRowHeight="15.75" customHeight="1" x14ac:dyDescent="0.25"/>
  <cols>
    <col min="9" max="9" width="28" customWidth="1"/>
  </cols>
  <sheetData>
    <row r="1" spans="1:11" x14ac:dyDescent="0.25">
      <c r="A1" s="1" t="s">
        <v>0</v>
      </c>
      <c r="B1" s="1" t="s">
        <v>1</v>
      </c>
      <c r="C1" s="10" t="s">
        <v>2</v>
      </c>
      <c r="D1" s="1" t="s">
        <v>3</v>
      </c>
      <c r="E1" s="1" t="s">
        <v>4</v>
      </c>
      <c r="F1" s="1" t="s">
        <v>5</v>
      </c>
      <c r="I1" s="6" t="s">
        <v>109</v>
      </c>
      <c r="K1" s="9" t="s">
        <v>110</v>
      </c>
    </row>
    <row r="2" spans="1:11" x14ac:dyDescent="0.25">
      <c r="A2" s="2" t="s">
        <v>6</v>
      </c>
      <c r="B2" s="2" t="s">
        <v>7</v>
      </c>
      <c r="C2" s="2" t="s">
        <v>8</v>
      </c>
      <c r="D2" s="3">
        <v>1000</v>
      </c>
      <c r="E2" s="3">
        <v>30</v>
      </c>
      <c r="F2" s="2" t="s">
        <v>9</v>
      </c>
      <c r="I2" s="7">
        <f>SUMIF(F2:F35,"Electronics",D2:D35)</f>
        <v>8050</v>
      </c>
      <c r="K2" s="7">
        <f>COUNTIF(D2:D35,"&lt;100")</f>
        <v>11</v>
      </c>
    </row>
    <row r="3" spans="1:11" x14ac:dyDescent="0.25">
      <c r="A3" s="4" t="s">
        <v>10</v>
      </c>
      <c r="B3" s="4" t="s">
        <v>11</v>
      </c>
      <c r="C3" s="4" t="s">
        <v>12</v>
      </c>
      <c r="D3" s="5">
        <v>80</v>
      </c>
      <c r="E3" s="5">
        <v>15</v>
      </c>
      <c r="F3" s="4" t="s">
        <v>13</v>
      </c>
    </row>
    <row r="4" spans="1:11" x14ac:dyDescent="0.25">
      <c r="A4" s="2" t="s">
        <v>14</v>
      </c>
      <c r="B4" s="2" t="s">
        <v>15</v>
      </c>
      <c r="C4" s="2" t="s">
        <v>16</v>
      </c>
      <c r="D4" s="3">
        <v>130</v>
      </c>
      <c r="E4" s="3">
        <v>40</v>
      </c>
      <c r="F4" s="2" t="s">
        <v>17</v>
      </c>
    </row>
    <row r="5" spans="1:11" x14ac:dyDescent="0.25">
      <c r="A5" s="4" t="s">
        <v>18</v>
      </c>
      <c r="B5" s="4" t="s">
        <v>19</v>
      </c>
      <c r="C5" s="4" t="s">
        <v>20</v>
      </c>
      <c r="D5" s="5">
        <v>900</v>
      </c>
      <c r="E5" s="5">
        <v>25</v>
      </c>
      <c r="F5" s="4" t="s">
        <v>9</v>
      </c>
    </row>
    <row r="6" spans="1:11" x14ac:dyDescent="0.25">
      <c r="A6" s="2" t="s">
        <v>21</v>
      </c>
      <c r="B6" s="2" t="s">
        <v>22</v>
      </c>
      <c r="C6" s="2" t="s">
        <v>23</v>
      </c>
      <c r="D6" s="3">
        <v>70</v>
      </c>
      <c r="E6" s="3">
        <v>20</v>
      </c>
      <c r="F6" s="2" t="s">
        <v>24</v>
      </c>
      <c r="I6" s="9" t="s">
        <v>111</v>
      </c>
    </row>
    <row r="7" spans="1:11" x14ac:dyDescent="0.25">
      <c r="A7" s="4" t="s">
        <v>25</v>
      </c>
      <c r="B7" s="4" t="s">
        <v>26</v>
      </c>
      <c r="C7" s="4" t="s">
        <v>27</v>
      </c>
      <c r="D7" s="5">
        <v>200</v>
      </c>
      <c r="E7" s="5">
        <v>45</v>
      </c>
      <c r="F7" s="4" t="s">
        <v>9</v>
      </c>
      <c r="I7" s="12" t="s">
        <v>118</v>
      </c>
    </row>
    <row r="8" spans="1:11" x14ac:dyDescent="0.25">
      <c r="A8" s="2" t="s">
        <v>28</v>
      </c>
      <c r="B8" s="2" t="s">
        <v>29</v>
      </c>
      <c r="C8" s="2" t="s">
        <v>30</v>
      </c>
      <c r="D8" s="3">
        <v>30</v>
      </c>
      <c r="E8" s="3">
        <v>5</v>
      </c>
      <c r="F8" s="2" t="s">
        <v>13</v>
      </c>
      <c r="I8" s="12" t="s">
        <v>119</v>
      </c>
    </row>
    <row r="9" spans="1:11" x14ac:dyDescent="0.25">
      <c r="A9" s="4" t="s">
        <v>31</v>
      </c>
      <c r="B9" s="4" t="s">
        <v>32</v>
      </c>
      <c r="C9" s="4" t="s">
        <v>33</v>
      </c>
      <c r="D9" s="5">
        <v>90</v>
      </c>
      <c r="E9" s="5">
        <v>35</v>
      </c>
      <c r="F9" s="4" t="s">
        <v>17</v>
      </c>
    </row>
    <row r="10" spans="1:11" x14ac:dyDescent="0.25">
      <c r="A10" s="2" t="s">
        <v>34</v>
      </c>
      <c r="B10" s="2" t="s">
        <v>35</v>
      </c>
      <c r="C10" s="2" t="s">
        <v>36</v>
      </c>
      <c r="D10" s="3">
        <v>500</v>
      </c>
      <c r="E10" s="3">
        <v>50</v>
      </c>
      <c r="F10" s="2" t="s">
        <v>9</v>
      </c>
    </row>
    <row r="11" spans="1:11" x14ac:dyDescent="0.25">
      <c r="A11" s="4" t="s">
        <v>37</v>
      </c>
      <c r="B11" s="4" t="s">
        <v>38</v>
      </c>
      <c r="C11" s="4" t="s">
        <v>39</v>
      </c>
      <c r="D11" s="5">
        <v>130</v>
      </c>
      <c r="E11" s="5">
        <v>10</v>
      </c>
      <c r="F11" s="4" t="s">
        <v>24</v>
      </c>
    </row>
    <row r="12" spans="1:11" x14ac:dyDescent="0.25">
      <c r="A12" s="2" t="s">
        <v>40</v>
      </c>
      <c r="B12" s="2" t="s">
        <v>7</v>
      </c>
      <c r="C12" s="2" t="s">
        <v>41</v>
      </c>
      <c r="D12" s="3">
        <v>950</v>
      </c>
      <c r="E12" s="3">
        <v>25</v>
      </c>
      <c r="F12" s="2" t="s">
        <v>9</v>
      </c>
    </row>
    <row r="13" spans="1:11" x14ac:dyDescent="0.25">
      <c r="A13" s="4" t="s">
        <v>42</v>
      </c>
      <c r="B13" s="4" t="s">
        <v>11</v>
      </c>
      <c r="C13" s="4" t="s">
        <v>30</v>
      </c>
      <c r="D13" s="5">
        <v>90</v>
      </c>
      <c r="E13" s="5">
        <v>40</v>
      </c>
      <c r="F13" s="4" t="s">
        <v>13</v>
      </c>
    </row>
    <row r="14" spans="1:11" x14ac:dyDescent="0.25">
      <c r="A14" s="2" t="s">
        <v>43</v>
      </c>
      <c r="B14" s="2" t="s">
        <v>15</v>
      </c>
      <c r="C14" s="2" t="s">
        <v>44</v>
      </c>
      <c r="D14" s="3">
        <v>120</v>
      </c>
      <c r="E14" s="3">
        <v>35</v>
      </c>
      <c r="F14" s="2" t="s">
        <v>17</v>
      </c>
    </row>
    <row r="15" spans="1:11" x14ac:dyDescent="0.25">
      <c r="A15" s="4" t="s">
        <v>45</v>
      </c>
      <c r="B15" s="4" t="s">
        <v>46</v>
      </c>
      <c r="C15" s="4" t="s">
        <v>47</v>
      </c>
      <c r="D15" s="5">
        <v>150</v>
      </c>
      <c r="E15" s="5">
        <v>15</v>
      </c>
      <c r="F15" s="4" t="s">
        <v>9</v>
      </c>
    </row>
    <row r="16" spans="1:11" x14ac:dyDescent="0.25">
      <c r="A16" s="2" t="s">
        <v>48</v>
      </c>
      <c r="B16" s="2" t="s">
        <v>26</v>
      </c>
      <c r="C16" s="2" t="s">
        <v>49</v>
      </c>
      <c r="D16" s="3">
        <v>250</v>
      </c>
      <c r="E16" s="3">
        <v>20</v>
      </c>
      <c r="F16" s="2" t="s">
        <v>9</v>
      </c>
    </row>
    <row r="17" spans="1:6" x14ac:dyDescent="0.25">
      <c r="A17" s="4" t="s">
        <v>50</v>
      </c>
      <c r="B17" s="4" t="s">
        <v>51</v>
      </c>
      <c r="C17" s="4" t="s">
        <v>52</v>
      </c>
      <c r="D17" s="5">
        <v>50</v>
      </c>
      <c r="E17" s="5">
        <v>35</v>
      </c>
      <c r="F17" s="4" t="s">
        <v>53</v>
      </c>
    </row>
    <row r="18" spans="1:6" x14ac:dyDescent="0.25">
      <c r="A18" s="2" t="s">
        <v>54</v>
      </c>
      <c r="B18" s="2" t="s">
        <v>46</v>
      </c>
      <c r="C18" s="2" t="s">
        <v>55</v>
      </c>
      <c r="D18" s="3">
        <v>160</v>
      </c>
      <c r="E18" s="3">
        <v>15</v>
      </c>
      <c r="F18" s="2" t="s">
        <v>9</v>
      </c>
    </row>
    <row r="19" spans="1:6" x14ac:dyDescent="0.25">
      <c r="A19" s="4" t="s">
        <v>56</v>
      </c>
      <c r="B19" s="4" t="s">
        <v>7</v>
      </c>
      <c r="C19" s="4" t="s">
        <v>57</v>
      </c>
      <c r="D19" s="5">
        <v>980</v>
      </c>
      <c r="E19" s="5">
        <v>10</v>
      </c>
      <c r="F19" s="4" t="s">
        <v>9</v>
      </c>
    </row>
    <row r="20" spans="1:6" x14ac:dyDescent="0.25">
      <c r="A20" s="2" t="s">
        <v>58</v>
      </c>
      <c r="B20" s="2" t="s">
        <v>59</v>
      </c>
      <c r="C20" s="2" t="s">
        <v>60</v>
      </c>
      <c r="D20" s="3">
        <v>150</v>
      </c>
      <c r="E20" s="3">
        <v>15</v>
      </c>
      <c r="F20" s="2" t="s">
        <v>13</v>
      </c>
    </row>
    <row r="21" spans="1:6" x14ac:dyDescent="0.25">
      <c r="A21" s="4" t="s">
        <v>61</v>
      </c>
      <c r="B21" s="4" t="s">
        <v>62</v>
      </c>
      <c r="C21" s="4" t="s">
        <v>63</v>
      </c>
      <c r="D21" s="5">
        <v>200</v>
      </c>
      <c r="E21" s="5">
        <v>10</v>
      </c>
      <c r="F21" s="4" t="s">
        <v>24</v>
      </c>
    </row>
    <row r="22" spans="1:6" x14ac:dyDescent="0.25">
      <c r="A22" s="2" t="s">
        <v>64</v>
      </c>
      <c r="B22" s="2" t="s">
        <v>65</v>
      </c>
      <c r="C22" s="2" t="s">
        <v>66</v>
      </c>
      <c r="D22" s="3">
        <v>700</v>
      </c>
      <c r="E22" s="3">
        <v>50</v>
      </c>
      <c r="F22" s="2" t="s">
        <v>9</v>
      </c>
    </row>
    <row r="23" spans="1:6" x14ac:dyDescent="0.25">
      <c r="A23" s="4" t="s">
        <v>67</v>
      </c>
      <c r="B23" s="4" t="s">
        <v>68</v>
      </c>
      <c r="C23" s="4" t="s">
        <v>69</v>
      </c>
      <c r="D23" s="5">
        <v>80</v>
      </c>
      <c r="E23" s="5">
        <v>20</v>
      </c>
      <c r="F23" s="4" t="s">
        <v>17</v>
      </c>
    </row>
    <row r="24" spans="1:6" x14ac:dyDescent="0.25">
      <c r="A24" s="2" t="s">
        <v>70</v>
      </c>
      <c r="B24" s="2" t="s">
        <v>71</v>
      </c>
      <c r="C24" s="2" t="s">
        <v>72</v>
      </c>
      <c r="D24" s="3">
        <v>150</v>
      </c>
      <c r="E24" s="3">
        <v>30</v>
      </c>
      <c r="F24" s="2" t="s">
        <v>9</v>
      </c>
    </row>
    <row r="25" spans="1:6" x14ac:dyDescent="0.25">
      <c r="A25" s="4" t="s">
        <v>50</v>
      </c>
      <c r="B25" s="4" t="s">
        <v>51</v>
      </c>
      <c r="C25" s="4" t="s">
        <v>52</v>
      </c>
      <c r="D25" s="5">
        <v>50</v>
      </c>
      <c r="E25" s="5">
        <v>35</v>
      </c>
      <c r="F25" s="4" t="s">
        <v>53</v>
      </c>
    </row>
    <row r="26" spans="1:6" x14ac:dyDescent="0.25">
      <c r="A26" s="2" t="s">
        <v>73</v>
      </c>
      <c r="B26" s="2" t="s">
        <v>19</v>
      </c>
      <c r="C26" s="2" t="s">
        <v>74</v>
      </c>
      <c r="D26" s="3">
        <v>800</v>
      </c>
      <c r="E26" s="3">
        <v>45</v>
      </c>
      <c r="F26" s="2" t="s">
        <v>9</v>
      </c>
    </row>
    <row r="27" spans="1:6" x14ac:dyDescent="0.25">
      <c r="A27" s="4" t="s">
        <v>75</v>
      </c>
      <c r="B27" s="4" t="s">
        <v>59</v>
      </c>
      <c r="C27" s="4" t="s">
        <v>76</v>
      </c>
      <c r="D27" s="5">
        <v>130</v>
      </c>
      <c r="E27" s="5">
        <v>25</v>
      </c>
      <c r="F27" s="4" t="s">
        <v>13</v>
      </c>
    </row>
    <row r="28" spans="1:6" x14ac:dyDescent="0.25">
      <c r="A28" s="2" t="s">
        <v>77</v>
      </c>
      <c r="B28" s="2" t="s">
        <v>32</v>
      </c>
      <c r="C28" s="2" t="s">
        <v>78</v>
      </c>
      <c r="D28" s="3">
        <v>400</v>
      </c>
      <c r="E28" s="3">
        <v>40</v>
      </c>
      <c r="F28" s="2" t="s">
        <v>17</v>
      </c>
    </row>
    <row r="29" spans="1:6" x14ac:dyDescent="0.25">
      <c r="A29" s="4" t="s">
        <v>48</v>
      </c>
      <c r="B29" s="4" t="s">
        <v>26</v>
      </c>
      <c r="C29" s="4" t="s">
        <v>49</v>
      </c>
      <c r="D29" s="5">
        <v>230</v>
      </c>
      <c r="E29" s="5">
        <v>20</v>
      </c>
      <c r="F29" s="4" t="s">
        <v>9</v>
      </c>
    </row>
    <row r="30" spans="1:6" x14ac:dyDescent="0.25">
      <c r="A30" s="2" t="s">
        <v>79</v>
      </c>
      <c r="B30" s="2" t="s">
        <v>80</v>
      </c>
      <c r="C30" s="2" t="s">
        <v>81</v>
      </c>
      <c r="D30" s="3">
        <v>60</v>
      </c>
      <c r="E30" s="3">
        <v>30</v>
      </c>
      <c r="F30" s="2" t="s">
        <v>13</v>
      </c>
    </row>
    <row r="31" spans="1:6" x14ac:dyDescent="0.25">
      <c r="A31" s="4" t="s">
        <v>82</v>
      </c>
      <c r="B31" s="4" t="s">
        <v>83</v>
      </c>
      <c r="C31" s="4" t="s">
        <v>84</v>
      </c>
      <c r="D31" s="5">
        <v>40</v>
      </c>
      <c r="E31" s="5">
        <v>10</v>
      </c>
      <c r="F31" s="4" t="s">
        <v>17</v>
      </c>
    </row>
    <row r="32" spans="1:6" x14ac:dyDescent="0.25">
      <c r="A32" s="2" t="s">
        <v>85</v>
      </c>
      <c r="B32" s="2" t="s">
        <v>71</v>
      </c>
      <c r="C32" s="2" t="s">
        <v>86</v>
      </c>
      <c r="D32" s="3">
        <v>130</v>
      </c>
      <c r="E32" s="3">
        <v>5</v>
      </c>
      <c r="F32" s="2" t="s">
        <v>9</v>
      </c>
    </row>
    <row r="33" spans="1:6" x14ac:dyDescent="0.25">
      <c r="A33" s="4" t="s">
        <v>87</v>
      </c>
      <c r="B33" s="4" t="s">
        <v>88</v>
      </c>
      <c r="C33" s="4" t="s">
        <v>89</v>
      </c>
      <c r="D33" s="5">
        <v>50</v>
      </c>
      <c r="E33" s="5">
        <v>50</v>
      </c>
      <c r="F33" s="4" t="s">
        <v>13</v>
      </c>
    </row>
    <row r="34" spans="1:6" x14ac:dyDescent="0.25">
      <c r="A34" s="2" t="s">
        <v>40</v>
      </c>
      <c r="B34" s="2" t="s">
        <v>7</v>
      </c>
      <c r="C34" s="2" t="s">
        <v>41</v>
      </c>
      <c r="D34" s="3">
        <v>950</v>
      </c>
      <c r="E34" s="3">
        <v>25</v>
      </c>
      <c r="F34" s="2" t="s">
        <v>9</v>
      </c>
    </row>
    <row r="35" spans="1:6" x14ac:dyDescent="0.25">
      <c r="A35" s="4" t="s">
        <v>90</v>
      </c>
      <c r="B35" s="4" t="s">
        <v>91</v>
      </c>
      <c r="C35" s="4" t="s">
        <v>92</v>
      </c>
      <c r="D35" s="5">
        <v>100</v>
      </c>
      <c r="E35" s="5">
        <v>20</v>
      </c>
      <c r="F35" s="4" t="s">
        <v>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M41"/>
  <sheetViews>
    <sheetView tabSelected="1" topLeftCell="B1" workbookViewId="0">
      <selection activeCell="J10" sqref="J10"/>
    </sheetView>
  </sheetViews>
  <sheetFormatPr defaultColWidth="12.6640625" defaultRowHeight="15.75" customHeight="1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I1" s="6" t="s">
        <v>112</v>
      </c>
      <c r="J1" s="6"/>
      <c r="K1" s="6" t="s">
        <v>113</v>
      </c>
      <c r="L1" s="6"/>
      <c r="M1" s="6" t="s">
        <v>114</v>
      </c>
    </row>
    <row r="2" spans="1:13" x14ac:dyDescent="0.25">
      <c r="A2" s="2" t="s">
        <v>6</v>
      </c>
      <c r="B2" s="2" t="s">
        <v>7</v>
      </c>
      <c r="C2" s="2" t="s">
        <v>8</v>
      </c>
      <c r="D2" s="3">
        <v>1000</v>
      </c>
      <c r="E2" s="3">
        <v>30</v>
      </c>
      <c r="F2" s="2" t="s">
        <v>9</v>
      </c>
      <c r="I2" s="7" t="str">
        <f t="shared" ref="I2:I35" si="0">LEFT(A2,2)</f>
        <v>28</v>
      </c>
      <c r="K2" s="7" t="str">
        <f t="shared" ref="K2:K35" si="1">RIGHT(A2,2)</f>
        <v>US</v>
      </c>
      <c r="M2" s="7" t="str">
        <f t="shared" ref="M2:M35" si="2">MID(A2,4,3)</f>
        <v>JAN</v>
      </c>
    </row>
    <row r="3" spans="1:13" x14ac:dyDescent="0.25">
      <c r="A3" s="4" t="s">
        <v>10</v>
      </c>
      <c r="B3" s="4" t="s">
        <v>11</v>
      </c>
      <c r="C3" s="4" t="s">
        <v>12</v>
      </c>
      <c r="D3" s="5">
        <v>80</v>
      </c>
      <c r="E3" s="5">
        <v>15</v>
      </c>
      <c r="F3" s="4" t="s">
        <v>13</v>
      </c>
      <c r="I3" s="7" t="str">
        <f t="shared" si="0"/>
        <v>15</v>
      </c>
      <c r="K3" s="7" t="str">
        <f t="shared" si="1"/>
        <v>US</v>
      </c>
      <c r="M3" s="7" t="str">
        <f t="shared" si="2"/>
        <v>FEB</v>
      </c>
    </row>
    <row r="4" spans="1:13" x14ac:dyDescent="0.25">
      <c r="A4" s="2" t="s">
        <v>14</v>
      </c>
      <c r="B4" s="2" t="s">
        <v>15</v>
      </c>
      <c r="C4" s="2" t="s">
        <v>16</v>
      </c>
      <c r="D4" s="3">
        <v>130</v>
      </c>
      <c r="E4" s="3">
        <v>40</v>
      </c>
      <c r="F4" s="2" t="s">
        <v>17</v>
      </c>
      <c r="I4" s="7" t="str">
        <f t="shared" si="0"/>
        <v>03</v>
      </c>
      <c r="K4" s="7" t="str">
        <f t="shared" si="1"/>
        <v>US</v>
      </c>
      <c r="M4" s="7" t="str">
        <f t="shared" si="2"/>
        <v>MAR</v>
      </c>
    </row>
    <row r="5" spans="1:13" x14ac:dyDescent="0.25">
      <c r="A5" s="4" t="s">
        <v>18</v>
      </c>
      <c r="B5" s="4" t="s">
        <v>19</v>
      </c>
      <c r="C5" s="4" t="s">
        <v>20</v>
      </c>
      <c r="D5" s="5">
        <v>900</v>
      </c>
      <c r="E5" s="5">
        <v>25</v>
      </c>
      <c r="F5" s="4" t="s">
        <v>9</v>
      </c>
      <c r="I5" s="7" t="str">
        <f t="shared" si="0"/>
        <v>11</v>
      </c>
      <c r="K5" s="7" t="str">
        <f t="shared" si="1"/>
        <v>US</v>
      </c>
      <c r="M5" s="7" t="str">
        <f t="shared" si="2"/>
        <v>APR</v>
      </c>
    </row>
    <row r="6" spans="1:13" x14ac:dyDescent="0.25">
      <c r="A6" s="2" t="s">
        <v>21</v>
      </c>
      <c r="B6" s="2" t="s">
        <v>22</v>
      </c>
      <c r="C6" s="2" t="s">
        <v>23</v>
      </c>
      <c r="D6" s="3">
        <v>70</v>
      </c>
      <c r="E6" s="3">
        <v>20</v>
      </c>
      <c r="F6" s="2" t="s">
        <v>24</v>
      </c>
      <c r="I6" s="7" t="str">
        <f t="shared" si="0"/>
        <v>22</v>
      </c>
      <c r="K6" s="7" t="str">
        <f t="shared" si="1"/>
        <v>US</v>
      </c>
      <c r="M6" s="7" t="str">
        <f t="shared" si="2"/>
        <v>MAY</v>
      </c>
    </row>
    <row r="7" spans="1:13" x14ac:dyDescent="0.25">
      <c r="A7" s="4" t="s">
        <v>25</v>
      </c>
      <c r="B7" s="4" t="s">
        <v>26</v>
      </c>
      <c r="C7" s="4" t="s">
        <v>27</v>
      </c>
      <c r="D7" s="5">
        <v>200</v>
      </c>
      <c r="E7" s="5">
        <v>45</v>
      </c>
      <c r="F7" s="4" t="s">
        <v>9</v>
      </c>
      <c r="I7" s="7" t="str">
        <f t="shared" si="0"/>
        <v>07</v>
      </c>
      <c r="K7" s="7" t="str">
        <f t="shared" si="1"/>
        <v>UK</v>
      </c>
      <c r="M7" s="7" t="str">
        <f t="shared" si="2"/>
        <v>JUN</v>
      </c>
    </row>
    <row r="8" spans="1:13" x14ac:dyDescent="0.25">
      <c r="A8" s="2" t="s">
        <v>28</v>
      </c>
      <c r="B8" s="2" t="s">
        <v>29</v>
      </c>
      <c r="C8" s="2" t="s">
        <v>30</v>
      </c>
      <c r="D8" s="3">
        <v>30</v>
      </c>
      <c r="E8" s="3">
        <v>5</v>
      </c>
      <c r="F8" s="2" t="s">
        <v>13</v>
      </c>
      <c r="I8" s="7" t="str">
        <f t="shared" si="0"/>
        <v>19</v>
      </c>
      <c r="K8" s="7" t="str">
        <f t="shared" si="1"/>
        <v>UK</v>
      </c>
      <c r="M8" s="7" t="str">
        <f t="shared" si="2"/>
        <v>JUL</v>
      </c>
    </row>
    <row r="9" spans="1:13" x14ac:dyDescent="0.25">
      <c r="A9" s="4" t="s">
        <v>31</v>
      </c>
      <c r="B9" s="4" t="s">
        <v>32</v>
      </c>
      <c r="C9" s="4" t="s">
        <v>33</v>
      </c>
      <c r="D9" s="5">
        <v>90</v>
      </c>
      <c r="E9" s="5">
        <v>35</v>
      </c>
      <c r="F9" s="4" t="s">
        <v>17</v>
      </c>
      <c r="I9" s="7" t="str">
        <f t="shared" si="0"/>
        <v>23</v>
      </c>
      <c r="K9" s="7" t="str">
        <f t="shared" si="1"/>
        <v>UK</v>
      </c>
      <c r="M9" s="7" t="str">
        <f t="shared" si="2"/>
        <v>AUG</v>
      </c>
    </row>
    <row r="10" spans="1:13" x14ac:dyDescent="0.25">
      <c r="A10" s="2" t="s">
        <v>34</v>
      </c>
      <c r="B10" s="2" t="s">
        <v>35</v>
      </c>
      <c r="C10" s="2" t="s">
        <v>36</v>
      </c>
      <c r="D10" s="3">
        <v>500</v>
      </c>
      <c r="E10" s="3">
        <v>50</v>
      </c>
      <c r="F10" s="2" t="s">
        <v>9</v>
      </c>
      <c r="I10" s="7" t="str">
        <f t="shared" si="0"/>
        <v>05</v>
      </c>
      <c r="K10" s="7" t="str">
        <f t="shared" si="1"/>
        <v>UK</v>
      </c>
      <c r="M10" s="7" t="str">
        <f t="shared" si="2"/>
        <v>SEP</v>
      </c>
    </row>
    <row r="11" spans="1:13" x14ac:dyDescent="0.25">
      <c r="A11" s="4" t="s">
        <v>37</v>
      </c>
      <c r="B11" s="4" t="s">
        <v>38</v>
      </c>
      <c r="C11" s="4" t="s">
        <v>39</v>
      </c>
      <c r="D11" s="5">
        <v>130</v>
      </c>
      <c r="E11" s="5">
        <v>10</v>
      </c>
      <c r="F11" s="4" t="s">
        <v>24</v>
      </c>
      <c r="I11" s="7" t="str">
        <f t="shared" si="0"/>
        <v>14</v>
      </c>
      <c r="K11" s="7" t="str">
        <f t="shared" si="1"/>
        <v>UK</v>
      </c>
      <c r="M11" s="7" t="str">
        <f t="shared" si="2"/>
        <v>OCT</v>
      </c>
    </row>
    <row r="12" spans="1:13" x14ac:dyDescent="0.25">
      <c r="A12" s="2" t="s">
        <v>40</v>
      </c>
      <c r="B12" s="2" t="s">
        <v>7</v>
      </c>
      <c r="C12" s="2" t="s">
        <v>41</v>
      </c>
      <c r="D12" s="3">
        <v>950</v>
      </c>
      <c r="E12" s="3">
        <v>25</v>
      </c>
      <c r="F12" s="2" t="s">
        <v>9</v>
      </c>
      <c r="I12" s="7" t="str">
        <f t="shared" si="0"/>
        <v>17</v>
      </c>
      <c r="K12" s="7" t="str">
        <f t="shared" si="1"/>
        <v>IN</v>
      </c>
      <c r="M12" s="7" t="str">
        <f t="shared" si="2"/>
        <v>JUN</v>
      </c>
    </row>
    <row r="13" spans="1:13" x14ac:dyDescent="0.25">
      <c r="A13" s="4" t="s">
        <v>42</v>
      </c>
      <c r="B13" s="4" t="s">
        <v>11</v>
      </c>
      <c r="C13" s="4" t="s">
        <v>30</v>
      </c>
      <c r="D13" s="5">
        <v>90</v>
      </c>
      <c r="E13" s="5">
        <v>40</v>
      </c>
      <c r="F13" s="4" t="s">
        <v>13</v>
      </c>
      <c r="I13" s="7" t="str">
        <f t="shared" si="0"/>
        <v>25</v>
      </c>
      <c r="K13" s="7" t="str">
        <f t="shared" si="1"/>
        <v>AU</v>
      </c>
      <c r="M13" s="7" t="str">
        <f t="shared" si="2"/>
        <v>NOV</v>
      </c>
    </row>
    <row r="14" spans="1:13" x14ac:dyDescent="0.25">
      <c r="A14" s="2" t="s">
        <v>43</v>
      </c>
      <c r="B14" s="2" t="s">
        <v>15</v>
      </c>
      <c r="C14" s="2" t="s">
        <v>44</v>
      </c>
      <c r="D14" s="3">
        <v>120</v>
      </c>
      <c r="E14" s="3">
        <v>35</v>
      </c>
      <c r="F14" s="2" t="s">
        <v>17</v>
      </c>
      <c r="I14" s="7" t="str">
        <f t="shared" si="0"/>
        <v>08</v>
      </c>
      <c r="K14" s="7" t="str">
        <f t="shared" si="1"/>
        <v>DE</v>
      </c>
      <c r="M14" s="7" t="str">
        <f t="shared" si="2"/>
        <v>DEC</v>
      </c>
    </row>
    <row r="15" spans="1:13" x14ac:dyDescent="0.25">
      <c r="A15" s="4" t="s">
        <v>45</v>
      </c>
      <c r="B15" s="4" t="s">
        <v>46</v>
      </c>
      <c r="C15" s="4" t="s">
        <v>47</v>
      </c>
      <c r="D15" s="5">
        <v>150</v>
      </c>
      <c r="E15" s="5">
        <v>15</v>
      </c>
      <c r="F15" s="4" t="s">
        <v>9</v>
      </c>
      <c r="I15" s="7" t="str">
        <f t="shared" si="0"/>
        <v>18</v>
      </c>
      <c r="K15" s="7" t="str">
        <f t="shared" si="1"/>
        <v>CA</v>
      </c>
      <c r="M15" s="7" t="str">
        <f t="shared" si="2"/>
        <v>FEB</v>
      </c>
    </row>
    <row r="16" spans="1:13" x14ac:dyDescent="0.25">
      <c r="A16" s="2" t="s">
        <v>48</v>
      </c>
      <c r="B16" s="2" t="s">
        <v>26</v>
      </c>
      <c r="C16" s="2" t="s">
        <v>49</v>
      </c>
      <c r="D16" s="3">
        <v>250</v>
      </c>
      <c r="E16" s="3">
        <v>20</v>
      </c>
      <c r="F16" s="2" t="s">
        <v>9</v>
      </c>
      <c r="I16" s="7" t="str">
        <f t="shared" si="0"/>
        <v>16</v>
      </c>
      <c r="K16" s="7" t="str">
        <f t="shared" si="1"/>
        <v>ES</v>
      </c>
      <c r="M16" s="7" t="str">
        <f t="shared" si="2"/>
        <v>APR</v>
      </c>
    </row>
    <row r="17" spans="1:13" x14ac:dyDescent="0.25">
      <c r="A17" s="4" t="s">
        <v>50</v>
      </c>
      <c r="B17" s="4" t="s">
        <v>51</v>
      </c>
      <c r="C17" s="4" t="s">
        <v>52</v>
      </c>
      <c r="D17" s="5">
        <v>50</v>
      </c>
      <c r="E17" s="5">
        <v>35</v>
      </c>
      <c r="F17" s="4" t="s">
        <v>53</v>
      </c>
      <c r="I17" s="7" t="str">
        <f t="shared" si="0"/>
        <v>21</v>
      </c>
      <c r="K17" s="7" t="str">
        <f t="shared" si="1"/>
        <v>CA</v>
      </c>
      <c r="M17" s="7" t="str">
        <f t="shared" si="2"/>
        <v>AUG</v>
      </c>
    </row>
    <row r="18" spans="1:13" x14ac:dyDescent="0.25">
      <c r="A18" s="2" t="s">
        <v>54</v>
      </c>
      <c r="B18" s="2" t="s">
        <v>46</v>
      </c>
      <c r="C18" s="2" t="s">
        <v>55</v>
      </c>
      <c r="D18" s="3">
        <v>160</v>
      </c>
      <c r="E18" s="3">
        <v>15</v>
      </c>
      <c r="F18" s="2" t="s">
        <v>9</v>
      </c>
      <c r="I18" s="7" t="str">
        <f t="shared" si="0"/>
        <v>20</v>
      </c>
      <c r="K18" s="7" t="str">
        <f t="shared" si="1"/>
        <v>CN</v>
      </c>
      <c r="M18" s="7" t="str">
        <f t="shared" si="2"/>
        <v>AUG</v>
      </c>
    </row>
    <row r="19" spans="1:13" x14ac:dyDescent="0.25">
      <c r="A19" s="4" t="s">
        <v>56</v>
      </c>
      <c r="B19" s="4" t="s">
        <v>7</v>
      </c>
      <c r="C19" s="4" t="s">
        <v>57</v>
      </c>
      <c r="D19" s="5">
        <v>980</v>
      </c>
      <c r="E19" s="5">
        <v>10</v>
      </c>
      <c r="F19" s="4" t="s">
        <v>9</v>
      </c>
      <c r="I19" s="7" t="str">
        <f t="shared" si="0"/>
        <v>27</v>
      </c>
      <c r="K19" s="7" t="str">
        <f t="shared" si="1"/>
        <v>IT</v>
      </c>
      <c r="M19" s="7" t="str">
        <f t="shared" si="2"/>
        <v>JAN</v>
      </c>
    </row>
    <row r="20" spans="1:13" x14ac:dyDescent="0.25">
      <c r="A20" s="2" t="s">
        <v>58</v>
      </c>
      <c r="B20" s="2" t="s">
        <v>59</v>
      </c>
      <c r="C20" s="2" t="s">
        <v>60</v>
      </c>
      <c r="D20" s="3">
        <v>150</v>
      </c>
      <c r="E20" s="3">
        <v>15</v>
      </c>
      <c r="F20" s="2" t="s">
        <v>13</v>
      </c>
      <c r="I20" s="7" t="str">
        <f t="shared" si="0"/>
        <v>01</v>
      </c>
      <c r="K20" s="7" t="str">
        <f t="shared" si="1"/>
        <v>UK</v>
      </c>
      <c r="M20" s="7" t="str">
        <f t="shared" si="2"/>
        <v>MAR</v>
      </c>
    </row>
    <row r="21" spans="1:13" x14ac:dyDescent="0.25">
      <c r="A21" s="4" t="s">
        <v>61</v>
      </c>
      <c r="B21" s="4" t="s">
        <v>62</v>
      </c>
      <c r="C21" s="4" t="s">
        <v>63</v>
      </c>
      <c r="D21" s="5">
        <v>200</v>
      </c>
      <c r="E21" s="5">
        <v>10</v>
      </c>
      <c r="F21" s="4" t="s">
        <v>24</v>
      </c>
      <c r="I21" s="7" t="str">
        <f t="shared" si="0"/>
        <v>14</v>
      </c>
      <c r="K21" s="7" t="str">
        <f t="shared" si="1"/>
        <v>US</v>
      </c>
      <c r="M21" s="7" t="str">
        <f t="shared" si="2"/>
        <v>AUG</v>
      </c>
    </row>
    <row r="22" spans="1:13" x14ac:dyDescent="0.25">
      <c r="A22" s="2" t="s">
        <v>64</v>
      </c>
      <c r="B22" s="2" t="s">
        <v>65</v>
      </c>
      <c r="C22" s="2" t="s">
        <v>66</v>
      </c>
      <c r="D22" s="3">
        <v>700</v>
      </c>
      <c r="E22" s="3">
        <v>50</v>
      </c>
      <c r="F22" s="2" t="s">
        <v>9</v>
      </c>
      <c r="I22" s="7" t="str">
        <f t="shared" si="0"/>
        <v>14</v>
      </c>
      <c r="K22" s="7" t="str">
        <f t="shared" si="1"/>
        <v>RU</v>
      </c>
      <c r="M22" s="7" t="str">
        <f t="shared" si="2"/>
        <v>MAY</v>
      </c>
    </row>
    <row r="23" spans="1:13" x14ac:dyDescent="0.25">
      <c r="A23" s="4" t="s">
        <v>67</v>
      </c>
      <c r="B23" s="4" t="s">
        <v>68</v>
      </c>
      <c r="C23" s="4" t="s">
        <v>69</v>
      </c>
      <c r="D23" s="5">
        <v>80</v>
      </c>
      <c r="E23" s="5">
        <v>20</v>
      </c>
      <c r="F23" s="4" t="s">
        <v>17</v>
      </c>
      <c r="I23" s="7" t="str">
        <f t="shared" si="0"/>
        <v>09</v>
      </c>
      <c r="K23" s="7" t="str">
        <f t="shared" si="1"/>
        <v>CA</v>
      </c>
      <c r="M23" s="7" t="str">
        <f t="shared" si="2"/>
        <v>JAN</v>
      </c>
    </row>
    <row r="24" spans="1:13" x14ac:dyDescent="0.25">
      <c r="A24" s="2" t="s">
        <v>70</v>
      </c>
      <c r="B24" s="2" t="s">
        <v>71</v>
      </c>
      <c r="C24" s="2" t="s">
        <v>72</v>
      </c>
      <c r="D24" s="3">
        <v>150</v>
      </c>
      <c r="E24" s="3">
        <v>30</v>
      </c>
      <c r="F24" s="2" t="s">
        <v>9</v>
      </c>
      <c r="I24" s="7" t="str">
        <f t="shared" si="0"/>
        <v>19</v>
      </c>
      <c r="K24" s="7" t="str">
        <f t="shared" si="1"/>
        <v>BR</v>
      </c>
      <c r="M24" s="7" t="str">
        <f t="shared" si="2"/>
        <v>JUL</v>
      </c>
    </row>
    <row r="25" spans="1:13" x14ac:dyDescent="0.25">
      <c r="A25" s="4" t="s">
        <v>50</v>
      </c>
      <c r="B25" s="4" t="s">
        <v>51</v>
      </c>
      <c r="C25" s="4" t="s">
        <v>52</v>
      </c>
      <c r="D25" s="5">
        <v>50</v>
      </c>
      <c r="E25" s="5">
        <v>35</v>
      </c>
      <c r="F25" s="4" t="s">
        <v>53</v>
      </c>
      <c r="I25" s="7" t="str">
        <f t="shared" si="0"/>
        <v>21</v>
      </c>
      <c r="K25" s="7" t="str">
        <f t="shared" si="1"/>
        <v>CA</v>
      </c>
      <c r="M25" s="7" t="str">
        <f t="shared" si="2"/>
        <v>AUG</v>
      </c>
    </row>
    <row r="26" spans="1:13" x14ac:dyDescent="0.25">
      <c r="A26" s="2" t="s">
        <v>73</v>
      </c>
      <c r="B26" s="2" t="s">
        <v>19</v>
      </c>
      <c r="C26" s="2" t="s">
        <v>74</v>
      </c>
      <c r="D26" s="3">
        <v>800</v>
      </c>
      <c r="E26" s="3">
        <v>45</v>
      </c>
      <c r="F26" s="2" t="s">
        <v>9</v>
      </c>
      <c r="I26" s="7" t="str">
        <f t="shared" si="0"/>
        <v>29</v>
      </c>
      <c r="K26" s="7" t="str">
        <f t="shared" si="1"/>
        <v>CA</v>
      </c>
      <c r="M26" s="7" t="str">
        <f t="shared" si="2"/>
        <v>SEP</v>
      </c>
    </row>
    <row r="27" spans="1:13" x14ac:dyDescent="0.25">
      <c r="A27" s="4" t="s">
        <v>75</v>
      </c>
      <c r="B27" s="4" t="s">
        <v>59</v>
      </c>
      <c r="C27" s="4" t="s">
        <v>76</v>
      </c>
      <c r="D27" s="5">
        <v>130</v>
      </c>
      <c r="E27" s="5">
        <v>25</v>
      </c>
      <c r="F27" s="4" t="s">
        <v>13</v>
      </c>
      <c r="I27" s="7" t="str">
        <f t="shared" si="0"/>
        <v>03</v>
      </c>
      <c r="K27" s="7" t="str">
        <f t="shared" si="1"/>
        <v>CA</v>
      </c>
      <c r="M27" s="7" t="str">
        <f t="shared" si="2"/>
        <v>JUN</v>
      </c>
    </row>
    <row r="28" spans="1:13" x14ac:dyDescent="0.25">
      <c r="A28" s="2" t="s">
        <v>77</v>
      </c>
      <c r="B28" s="2" t="s">
        <v>32</v>
      </c>
      <c r="C28" s="2" t="s">
        <v>78</v>
      </c>
      <c r="D28" s="3">
        <v>400</v>
      </c>
      <c r="E28" s="3">
        <v>40</v>
      </c>
      <c r="F28" s="2" t="s">
        <v>17</v>
      </c>
      <c r="I28" s="7" t="str">
        <f t="shared" si="0"/>
        <v>11</v>
      </c>
      <c r="K28" s="7" t="str">
        <f t="shared" si="1"/>
        <v>CA</v>
      </c>
      <c r="M28" s="7" t="str">
        <f t="shared" si="2"/>
        <v>JUL</v>
      </c>
    </row>
    <row r="29" spans="1:13" x14ac:dyDescent="0.25">
      <c r="A29" s="4" t="s">
        <v>48</v>
      </c>
      <c r="B29" s="4" t="s">
        <v>26</v>
      </c>
      <c r="C29" s="4" t="s">
        <v>49</v>
      </c>
      <c r="D29" s="5">
        <v>230</v>
      </c>
      <c r="E29" s="5">
        <v>20</v>
      </c>
      <c r="F29" s="4" t="s">
        <v>9</v>
      </c>
      <c r="I29" s="7" t="str">
        <f t="shared" si="0"/>
        <v>16</v>
      </c>
      <c r="K29" s="7" t="str">
        <f t="shared" si="1"/>
        <v>ES</v>
      </c>
      <c r="M29" s="7" t="str">
        <f t="shared" si="2"/>
        <v>APR</v>
      </c>
    </row>
    <row r="30" spans="1:13" x14ac:dyDescent="0.25">
      <c r="A30" s="2" t="s">
        <v>79</v>
      </c>
      <c r="B30" s="2" t="s">
        <v>80</v>
      </c>
      <c r="C30" s="2" t="s">
        <v>81</v>
      </c>
      <c r="D30" s="3">
        <v>60</v>
      </c>
      <c r="E30" s="3">
        <v>30</v>
      </c>
      <c r="F30" s="2" t="s">
        <v>13</v>
      </c>
      <c r="I30" s="7" t="str">
        <f t="shared" si="0"/>
        <v>07</v>
      </c>
      <c r="K30" s="7" t="str">
        <f t="shared" si="1"/>
        <v>CA</v>
      </c>
      <c r="M30" s="7" t="str">
        <f t="shared" si="2"/>
        <v>MAR</v>
      </c>
    </row>
    <row r="31" spans="1:13" x14ac:dyDescent="0.25">
      <c r="A31" s="4" t="s">
        <v>82</v>
      </c>
      <c r="B31" s="4" t="s">
        <v>83</v>
      </c>
      <c r="C31" s="4" t="s">
        <v>84</v>
      </c>
      <c r="D31" s="5">
        <v>40</v>
      </c>
      <c r="E31" s="5">
        <v>10</v>
      </c>
      <c r="F31" s="4" t="s">
        <v>17</v>
      </c>
      <c r="I31" s="7" t="str">
        <f t="shared" si="0"/>
        <v>13</v>
      </c>
      <c r="K31" s="7" t="str">
        <f t="shared" si="1"/>
        <v>CA</v>
      </c>
      <c r="M31" s="7" t="str">
        <f t="shared" si="2"/>
        <v>APR</v>
      </c>
    </row>
    <row r="32" spans="1:13" x14ac:dyDescent="0.25">
      <c r="A32" s="2" t="s">
        <v>85</v>
      </c>
      <c r="B32" s="2" t="s">
        <v>71</v>
      </c>
      <c r="C32" s="2" t="s">
        <v>86</v>
      </c>
      <c r="D32" s="3">
        <v>130</v>
      </c>
      <c r="E32" s="3">
        <v>5</v>
      </c>
      <c r="F32" s="2" t="s">
        <v>9</v>
      </c>
      <c r="I32" s="7" t="str">
        <f t="shared" si="0"/>
        <v>24</v>
      </c>
      <c r="K32" s="7" t="str">
        <f t="shared" si="1"/>
        <v>CA</v>
      </c>
      <c r="M32" s="7" t="str">
        <f t="shared" si="2"/>
        <v>MAY</v>
      </c>
    </row>
    <row r="33" spans="1:13" x14ac:dyDescent="0.25">
      <c r="A33" s="4" t="s">
        <v>87</v>
      </c>
      <c r="B33" s="4" t="s">
        <v>88</v>
      </c>
      <c r="C33" s="4" t="s">
        <v>89</v>
      </c>
      <c r="D33" s="5">
        <v>50</v>
      </c>
      <c r="E33" s="5">
        <v>50</v>
      </c>
      <c r="F33" s="4" t="s">
        <v>13</v>
      </c>
      <c r="I33" s="7" t="str">
        <f t="shared" si="0"/>
        <v>02</v>
      </c>
      <c r="K33" s="7" t="str">
        <f t="shared" si="1"/>
        <v>CA</v>
      </c>
      <c r="M33" s="7" t="str">
        <f t="shared" si="2"/>
        <v>DEC</v>
      </c>
    </row>
    <row r="34" spans="1:13" x14ac:dyDescent="0.25">
      <c r="A34" s="2" t="s">
        <v>40</v>
      </c>
      <c r="B34" s="2" t="s">
        <v>7</v>
      </c>
      <c r="C34" s="2" t="s">
        <v>41</v>
      </c>
      <c r="D34" s="3">
        <v>950</v>
      </c>
      <c r="E34" s="3">
        <v>25</v>
      </c>
      <c r="F34" s="2" t="s">
        <v>9</v>
      </c>
      <c r="I34" s="7" t="str">
        <f t="shared" si="0"/>
        <v>17</v>
      </c>
      <c r="K34" s="7" t="str">
        <f t="shared" si="1"/>
        <v>IN</v>
      </c>
      <c r="M34" s="7" t="str">
        <f t="shared" si="2"/>
        <v>JUN</v>
      </c>
    </row>
    <row r="35" spans="1:13" x14ac:dyDescent="0.25">
      <c r="A35" s="4" t="s">
        <v>90</v>
      </c>
      <c r="B35" s="4" t="s">
        <v>91</v>
      </c>
      <c r="C35" s="4" t="s">
        <v>92</v>
      </c>
      <c r="D35" s="5">
        <v>100</v>
      </c>
      <c r="E35" s="5">
        <v>20</v>
      </c>
      <c r="F35" s="4" t="s">
        <v>53</v>
      </c>
      <c r="I35" s="7" t="str">
        <f t="shared" si="0"/>
        <v>09</v>
      </c>
      <c r="K35" s="7" t="str">
        <f t="shared" si="1"/>
        <v>FR</v>
      </c>
      <c r="M35" s="7" t="str">
        <f t="shared" si="2"/>
        <v>JUL</v>
      </c>
    </row>
    <row r="38" spans="1:13" ht="15.75" customHeight="1" x14ac:dyDescent="0.25">
      <c r="F38" s="9" t="s">
        <v>99</v>
      </c>
    </row>
    <row r="39" spans="1:13" ht="15.75" customHeight="1" x14ac:dyDescent="0.25">
      <c r="F39" s="12" t="s">
        <v>122</v>
      </c>
    </row>
    <row r="40" spans="1:13" ht="15.75" customHeight="1" x14ac:dyDescent="0.25">
      <c r="F40" s="9" t="s">
        <v>115</v>
      </c>
    </row>
    <row r="41" spans="1:13" ht="15.75" customHeight="1" x14ac:dyDescent="0.25">
      <c r="F41" s="9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Dataset</vt:lpstr>
      <vt:lpstr>SUM, COUNT&amp; AVG.</vt:lpstr>
      <vt:lpstr>MIN, MAX</vt:lpstr>
      <vt:lpstr>IF() Function</vt:lpstr>
      <vt:lpstr>SUMIF() &amp; COUNTIF()</vt:lpstr>
      <vt:lpstr>LEFT, RIGHT, MID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Venkatesh M</cp:lastModifiedBy>
  <dcterms:created xsi:type="dcterms:W3CDTF">2026-06-19T10:31:23Z</dcterms:created>
  <dcterms:modified xsi:type="dcterms:W3CDTF">2026-06-19T10:43:20Z</dcterms:modified>
</cp:coreProperties>
</file>