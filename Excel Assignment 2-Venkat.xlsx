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dc9f8cccea0642b/Documents/"/>
    </mc:Choice>
  </mc:AlternateContent>
  <xr:revisionPtr revIDLastSave="59" documentId="8_{356E58D6-C277-478F-8DDF-86344C4613B0}" xr6:coauthVersionLast="47" xr6:coauthVersionMax="47" xr10:uidLastSave="{3D2F9511-B36C-4C25-AD17-4BBE7CAEFEB0}"/>
  <bookViews>
    <workbookView xWindow="-108" yWindow="-108" windowWidth="23256" windowHeight="12456" xr2:uid="{00000000-000D-0000-FFFF-FFFF00000000}"/>
  </bookViews>
  <sheets>
    <sheet name="Dataset" sheetId="1" r:id="rId1"/>
    <sheet name="1a.Missing information" sheetId="2" r:id="rId2"/>
    <sheet name="1b. Missing information" sheetId="3" r:id="rId3"/>
    <sheet name="2a.Correcting inconsistent Data" sheetId="4" r:id="rId4"/>
    <sheet name="2b. Find and Replace" sheetId="5" r:id="rId5"/>
    <sheet name="3.Duplicates" sheetId="6" r:id="rId6"/>
    <sheet name="4.Splitting and Merging Data" sheetId="7" r:id="rId7"/>
    <sheet name="5.Number Formatting" sheetId="8" r:id="rId8"/>
    <sheet name="6.Conditional Formatting" sheetId="9" r:id="rId9"/>
  </sheets>
  <definedNames>
    <definedName name="_xlnm._FilterDatabase" localSheetId="2" hidden="1">'1b. Missing information'!$A$1:$F$35</definedName>
    <definedName name="_xlnm._FilterDatabase" localSheetId="4" hidden="1">'2b. Find and Replace'!$A$1:$F$35</definedName>
    <definedName name="_xlnm._FilterDatabase" localSheetId="5" hidden="1">'3.Duplicates'!$A$1:$F$35</definedName>
    <definedName name="_xlnm._FilterDatabase" localSheetId="8" hidden="1">'6.Conditional Formatting'!$K$1:$K$35</definedName>
    <definedName name="_xlnm._FilterDatabase" localSheetId="0" hidden="1">Dataset!$A$1:$F$35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7" l="1"/>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2" i="7"/>
  <c r="K2" i="4" a="1"/>
  <c r="K2" i="4" s="1"/>
  <c r="I2" i="4" a="1"/>
  <c r="I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<sst xmlns="http://schemas.openxmlformats.org/spreadsheetml/2006/main" count="1783" uniqueCount="195">
  <si>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</si>
  <si>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</si>
  <si>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</si>
  <si>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</si>
  <si>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</si>
  <si>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</si>
  <si>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</si>
  <si>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</si>
  <si>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</si>
  <si>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</si>
  <si>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</si>
  <si>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</si>
  <si>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</si>
  <si>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</si>
  <si>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</si>
  <si>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</si>
  <si>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</si>
  <si>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</si>
  <si>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</si>
  <si>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</si>
  <si>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</si>
  <si>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</si>
  <si>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</si>
  <si>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</si>
  <si>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</si>
  <si>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</si>
  <si>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</si>
  <si>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</si>
  <si>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</si>
  <si>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</si>
  <si>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</si>
  <si>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</si>
  <si>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</si>
  <si>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</si>
  <si>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</si>
  <si>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</si>
  <si>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</si>
  <si>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</si>
  <si>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</si>
  <si>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</si>
  <si>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</si>
  <si>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</si>
  <si>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</si>
  <si>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</si>
  <si>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</si>
  <si>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</si>
  <si>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</si>
  <si>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</si>
  <si>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</si>
  <si>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</si>
  <si>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</si>
  <si>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</si>
  <si>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</si>
  <si>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</si>
  <si>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</si>
  <si>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</si>
  <si>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</si>
  <si>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</si>
  <si>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</si>
  <si>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</si>
  <si>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</si>
  <si>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</si>
  <si>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</si>
  <si>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</si>
  <si>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</si>
  <si>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</si>
  <si>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</si>
  <si>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</si>
  <si>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</si>
  <si>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</si>
  <si>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</si>
  <si>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</si>
  <si>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</si>
  <si>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</si>
  <si>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</si>
  <si>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</si>
  <si>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</si>
  <si>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</si>
  <si>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</si>
  <si>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</si>
  <si>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</si>
  <si>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</si>
  <si>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</si>
  <si>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</si>
  <si>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</si>
  <si>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</si>
  <si>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</si>
  <si>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</si>
  <si>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</si>
  <si>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</si>
  <si>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</si>
  <si>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</si>
  <si>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</si>
  <si>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Q</t>
  </si>
  <si>
    <t>Ans:</t>
  </si>
  <si>
    <t>In excel, we can use two functions to identify missing values</t>
  </si>
  <si>
    <t>1. COUNTBLANK()</t>
  </si>
  <si>
    <t>2. ISBLANK()</t>
  </si>
  <si>
    <t>1a.</t>
  </si>
  <si>
    <t>1b.</t>
  </si>
  <si>
    <t>Find missing values in price column?</t>
  </si>
  <si>
    <t>How would you handle products with missing price information</t>
  </si>
  <si>
    <t>Ans: Step 1</t>
  </si>
  <si>
    <t>If any products has a missing price information need to use COUNTBLANK() function and determine no of missing details</t>
  </si>
  <si>
    <t>Step 2</t>
  </si>
  <si>
    <t>Q:</t>
  </si>
  <si>
    <t>If there are products with missing categories, propose a strategy to impute or deal with these missing values effectively.</t>
  </si>
  <si>
    <t>To determine missing categories we can use COUNTBLANK() function to count no of blanks in given range</t>
  </si>
  <si>
    <t>TRIM()</t>
  </si>
  <si>
    <t>Observations</t>
  </si>
  <si>
    <t>1. Applied PROPER() function to correct the products to appear in same format. T-Shirt was in inconsistent format and that particular data was corrected</t>
  </si>
  <si>
    <t>2.Applied TRIM() function to remove extra spaces, however dataset had no extra spaces. This TRIM() function is used to remove extra spaces in data's if available</t>
  </si>
  <si>
    <t>3. No typos present in "Category" column. Applied Function-&gt;F7 for spellcheck and it returned no value. So there are no typos in category column</t>
  </si>
  <si>
    <t>2. Used Find and Replace functions in category column to correct the word "Accessories" in given data set</t>
  </si>
  <si>
    <t>Manufacturing date</t>
  </si>
  <si>
    <t>Country Code</t>
  </si>
  <si>
    <t>US</t>
  </si>
  <si>
    <t>UK</t>
  </si>
  <si>
    <t>IN</t>
  </si>
  <si>
    <t>AU</t>
  </si>
  <si>
    <t>DE</t>
  </si>
  <si>
    <t>CA</t>
  </si>
  <si>
    <t>ES</t>
  </si>
  <si>
    <t>CN</t>
  </si>
  <si>
    <t>IT</t>
  </si>
  <si>
    <t>RU</t>
  </si>
  <si>
    <t>BR</t>
  </si>
  <si>
    <t>FR</t>
  </si>
  <si>
    <t>28-JAN</t>
  </si>
  <si>
    <t>15-FEB</t>
  </si>
  <si>
    <t>3-MAR</t>
  </si>
  <si>
    <t>11-APR</t>
  </si>
  <si>
    <t>22-MAY</t>
  </si>
  <si>
    <t>7-JUN</t>
  </si>
  <si>
    <t>19-JUL</t>
  </si>
  <si>
    <t>23-AUG</t>
  </si>
  <si>
    <t>5-SEP</t>
  </si>
  <si>
    <t>14-OCT</t>
  </si>
  <si>
    <t>17-JUN</t>
  </si>
  <si>
    <t>25-NOV</t>
  </si>
  <si>
    <t>8-DEC</t>
  </si>
  <si>
    <t>18-FEB</t>
  </si>
  <si>
    <t>16-APR</t>
  </si>
  <si>
    <t>21-AUG</t>
  </si>
  <si>
    <t>20-AUG</t>
  </si>
  <si>
    <t>27-JAN</t>
  </si>
  <si>
    <t>1-MAR</t>
  </si>
  <si>
    <t>14-AUG</t>
  </si>
  <si>
    <t>14-MAY</t>
  </si>
  <si>
    <t>9-JAN</t>
  </si>
  <si>
    <t>29-SEP</t>
  </si>
  <si>
    <t>3-JUN</t>
  </si>
  <si>
    <t>11-JUL</t>
  </si>
  <si>
    <t>7-MAR</t>
  </si>
  <si>
    <t>13-APR</t>
  </si>
  <si>
    <t>24-MAY</t>
  </si>
  <si>
    <t>2-DEC</t>
  </si>
  <si>
    <t>9-JUL</t>
  </si>
  <si>
    <t>Product Brand</t>
  </si>
  <si>
    <t>Date Format</t>
  </si>
  <si>
    <t>1. Price column changed to current by going to Home-&gt;Number-&gt;change "General" to "Currency" format</t>
  </si>
  <si>
    <t>2. Manufacturing date converted to date  by going to Home-&gt;Number-&gt;change "General" to "Date" format</t>
  </si>
  <si>
    <t>1. To find duplicate following steps to be followed Home-&gt;Conditional formatting-&gt;Highlight cell rule-&gt;duplicate values</t>
  </si>
  <si>
    <t>JAN</t>
  </si>
  <si>
    <t>FEB</t>
  </si>
  <si>
    <t>MAR</t>
  </si>
  <si>
    <t>APR</t>
  </si>
  <si>
    <t>MAY</t>
  </si>
  <si>
    <t>JUN</t>
  </si>
  <si>
    <t>JUL</t>
  </si>
  <si>
    <t>AUG</t>
  </si>
  <si>
    <t>SEP</t>
  </si>
  <si>
    <t>OCT</t>
  </si>
  <si>
    <t>NOV</t>
  </si>
  <si>
    <t>DEC</t>
  </si>
  <si>
    <t>Split value</t>
  </si>
  <si>
    <t>1. Data-&gt;Text to columns-&gt;Delimited(selected (-) from others). Followed this steps to split product id in to manufacturing date and country code. However using delimited in  excel was able to split in to three column and then used CONCATENATE() to merge first two datas.(column H, I, J and Column N and O to merge.</t>
  </si>
  <si>
    <t>In the given dataset  there are no missing values in price column and if its available we can use the above two functions to determine no of missing values for particular range and individual cell</t>
  </si>
  <si>
    <t>If the missing details are numerical, we can use mean() function or median() function if it has outliers to determine the particular products price details</t>
  </si>
  <si>
    <t>If the missing details are categorical, we can use mode() function</t>
  </si>
  <si>
    <t>To fill the values in blank cells in the category column, we can use mode() function since the data is categorical(text). The mode function will return the value as "Electronics" in this table because it has been repeated more time in category column</t>
  </si>
  <si>
    <t>Accesories</t>
  </si>
  <si>
    <t>3. Used CONCATENATE() function to merge brand name and product name to one column as "Product Brand" Column Q</t>
  </si>
  <si>
    <t>Imputation is the process of replacing missing values with default values based on the columns characterisation. If numerical, fill with average value, if categorical, fill with highest repeated text.</t>
  </si>
  <si>
    <t>Product Name (Proper()</t>
  </si>
  <si>
    <t>1.Used Find and Replace function (Ctrl+H) in product name column to correct "Back pack" and "HikingBoots" in given data set</t>
  </si>
  <si>
    <t>NOTE: There were no typos in both product name and category column. I manually created those typos to explain how FIND AND REPLACE functions work. I've also pasted the screenshots as to how Find and replace works</t>
  </si>
  <si>
    <t>2. Followed the above steps and Rows 12,17, 25 &amp; 34 were identified with duplicate vaues entirely and manually removed those two rows and data is updated with 32 rows</t>
  </si>
  <si>
    <t>Note: the table showed many duplicates as many of the entities were repeated and out of which the above were identified entirely duplicates and removed only those</t>
  </si>
  <si>
    <t>Power query</t>
  </si>
  <si>
    <t>Price ($)= Data Bars</t>
  </si>
  <si>
    <t>Price ($)= color scales</t>
  </si>
  <si>
    <t>1. Applied Data bars or color scales in price column by going to Home-&gt; Conditional Formatting-&gt; Data Bars and Home-&gt; Conditional Formatting-&gt; Color scales</t>
  </si>
  <si>
    <t>2. Data-&gt; From table range-&gt; select product ID column-&gt; Split column-&gt; By Delimiter-&gt;Right-most delimiter.Followed this steps to create power query and split the data in to two columns using delimiter and selecting right most delimiter to split in to date and country code (column K and L)</t>
  </si>
  <si>
    <t>2. Created custom rule for conditional formatting by giving Conditional formatting-&gt; Highlight cell rules-&gt; Text that contains electronics in the "Category" to highlight where the category is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</si>
</sst>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dd\-mm\-yyyy"/>
  </numFmts>
  <fonts count="10" x14ac:knownFonts="1">
    <font>
      <sz val="10"/>
      <color rgb="FF000000"/>
      <name val="Arial"/>
      <scheme val="minor"/>
    </font>
    <font>
      <b/>
      <sz val="10"/>
      <color theme="1"/>
      <name val="Arial"/>
    </font>
    <font>
      <sz val="10"/>
      <color theme="1"/>
      <name val="Arial"/>
    </font>
    <font>
      <sz val="10"/>
      <color theme="1"/>
      <name val="Arial"/>
      <family val="2"/>
    </font>
    <font>
      <b/>
      <sz val="10"/>
      <color rgb="FF000000"/>
      <name val="Arial"/>
      <family val="2"/>
      <scheme val="minor"/>
    </font>
    <font>
      <sz val="10"/>
      <color rgb="FF000000"/>
      <name val="Arial"/>
      <family val="2"/>
      <scheme val="minor"/>
    </font>
    <font>
      <b/>
      <sz val="10"/>
      <color theme="1"/>
      <name val="Arial"/>
      <family val="2"/>
    </font>
    <font>
      <sz val="10"/>
      <color theme="1"/>
      <name val="Arial"/>
      <family val="2"/>
      <scheme val="minor"/>
    </font>
    <font>
      <sz val="10"/>
      <color theme="1"/>
      <name val="Arial"/>
      <scheme val="minor"/>
    </font>
    <font>
      <b/>
      <sz val="10"/>
      <color theme="1"/>
      <name val="Arial"/>
      <family val="2"/>
      <scheme val="minor"/>
    </font>
  </fonts>
  <fills count="6">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rgb="FFFFFFFF"/>
        <bgColor rgb="FFFFFFFF"/>
      </patternFill>
    </fill>
    <fill>
      <patternFill patternType="solid">
        <fgColor theme="5" tint="0.39997558519241921"/>
        <bgColor rgb="FFE0F7FA"/>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2">
    <xf numFmtId="0" fontId="0" fillId="0" borderId="0"/>
    <xf numFmtId="0" fontId="5" fillId="0" borderId="0"/>
  </cellStyleXfs>
  <cellXfs count="25">
    <xf numFmtId="0" fontId="0" fillId="0" borderId="0" xfId="0"/>
    <xf numFmtId="0" fontId="1" fillId="2" borderId="0" xfId="0" applyFont="1" applyFill="1" applyAlignment="1">
      <alignment horizontal="center"/>
    </xf>
    <xf numFmtId="0" fontId="1" fillId="0" borderId="0" xfId="0" applyFont="1" applyAlignment="1">
      <alignment horizontal="center"/>
    </xf>
    <xf numFmtId="0" fontId="2" fillId="0" borderId="0" xfId="0" applyFont="1"/>
    <xf numFmtId="0" fontId="2" fillId="3" borderId="0" xfId="0" applyFont="1" applyFill="1"/>
    <xf numFmtId="0" fontId="2" fillId="4" borderId="0" xfId="0" applyFont="1" applyFill="1"/>
    <xf numFmtId="0" fontId="4" fillId="0" borderId="0" xfId="0" applyFont="1"/>
    <xf numFmtId="0" fontId="5" fillId="0" borderId="0" xfId="0" applyFont="1"/>
    <xf numFmtId="0" fontId="3" fillId="3" borderId="0" xfId="0" applyFont="1" applyFill="1"/>
    <xf numFmtId="0" fontId="6" fillId="2" borderId="0" xfId="0" applyFont="1" applyFill="1" applyAlignment="1">
      <alignment horizontal="center"/>
    </xf>
    <xf numFmtId="0" fontId="3" fillId="0" borderId="0" xfId="0" applyFont="1"/>
    <xf numFmtId="0" fontId="2" fillId="5" borderId="0" xfId="0" applyFont="1" applyFill="1"/>
    <xf numFmtId="0" fontId="3" fillId="5" borderId="0" xfId="0" applyFont="1" applyFill="1"/>
    <xf numFmtId="0" fontId="7" fillId="0" borderId="0" xfId="1" applyFont="1" applyAlignment="1">
      <alignment horizontal="right"/>
    </xf>
    <xf numFmtId="0" fontId="7" fillId="0" borderId="0" xfId="1" applyFont="1"/>
    <xf numFmtId="0" fontId="8" fillId="0" borderId="0" xfId="0" applyFont="1"/>
    <xf numFmtId="0" fontId="9" fillId="0" borderId="0" xfId="0" applyFont="1"/>
    <xf numFmtId="164" fontId="0" fillId="0" borderId="0" xfId="0" applyNumberFormat="1" applyAlignment="1">
      <alignment horizontal="right"/>
    </xf>
    <xf numFmtId="165" fontId="7" fillId="0" borderId="0" xfId="1" applyNumberFormat="1" applyFont="1"/>
    <xf numFmtId="0" fontId="1" fillId="0" borderId="0" xfId="0" applyFont="1" applyFill="1" applyAlignment="1">
      <alignment horizontal="center"/>
    </xf>
    <xf numFmtId="0" fontId="6" fillId="0" borderId="0" xfId="0" applyFont="1" applyFill="1" applyAlignment="1">
      <alignment horizontal="center"/>
    </xf>
    <xf numFmtId="0" fontId="2" fillId="0" borderId="0" xfId="0" applyFont="1" applyFill="1"/>
    <xf numFmtId="0" fontId="0" fillId="0" borderId="0" xfId="0" applyFill="1"/>
    <xf numFmtId="14" fontId="0" fillId="0" borderId="1" xfId="0" applyNumberFormat="1" applyFill="1" applyBorder="1"/>
    <xf numFmtId="0" fontId="0" fillId="0" borderId="2" xfId="0" applyFill="1" applyBorder="1"/>
  </cellXfs>
  <cellStyles count="2">
    <cellStyle name="Normal" xfId="0" builtinId="0"/>
    <cellStyle name="Normal 2" xfId="1" xr:uid="{905910F9-C01A-4C22-8F31-F3F542133EB1}"/>
  </cellStyles>
  <dxfs count="2">
    <dxf>
      <font>
        <color rgb="FF006100"/>
      </font>
      <fill>
        <patternFill>
          <bgColor rgb="FFC6EFCE"/>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0</xdr:row>
      <xdr:rowOff>0</xdr:rowOff>
    </xdr:from>
    <xdr:to>
      <xdr:col>15</xdr:col>
      <xdr:colOff>403860</xdr:colOff>
      <xdr:row>15</xdr:row>
      <xdr:rowOff>84591</xdr:rowOff>
    </xdr:to>
    <xdr:pic>
      <xdr:nvPicPr>
        <xdr:cNvPr id="2" name="Picture 1">
          <a:extLst>
            <a:ext uri="{FF2B5EF4-FFF2-40B4-BE49-F238E27FC236}">
              <a16:creationId xmlns:a16="http://schemas.microsoft.com/office/drawing/2014/main" id="{CEAEDF27-863F-A5D3-7CC2-AF2367E8C4EA}"/>
            </a:ext>
          </a:extLst>
        </xdr:cNvPr>
        <xdr:cNvPicPr>
          <a:picLocks noChangeAspect="1"/>
        </xdr:cNvPicPr>
      </xdr:nvPicPr>
      <xdr:blipFill>
        <a:blip xmlns:r="http://schemas.openxmlformats.org/officeDocument/2006/relationships" r:embed="rId1"/>
        <a:stretch>
          <a:fillRect/>
        </a:stretch>
      </xdr:blipFill>
      <xdr:spPr>
        <a:xfrm>
          <a:off x="6705600" y="0"/>
          <a:ext cx="4023360" cy="2599191"/>
        </a:xfrm>
        <a:prstGeom prst="rect">
          <a:avLst/>
        </a:prstGeom>
      </xdr:spPr>
    </xdr:pic>
    <xdr:clientData/>
  </xdr:twoCellAnchor>
  <xdr:twoCellAnchor editAs="oneCell">
    <xdr:from>
      <xdr:col>9</xdr:col>
      <xdr:colOff>53340</xdr:colOff>
      <xdr:row>15</xdr:row>
      <xdr:rowOff>114301</xdr:rowOff>
    </xdr:from>
    <xdr:to>
      <xdr:col>15</xdr:col>
      <xdr:colOff>422161</xdr:colOff>
      <xdr:row>29</xdr:row>
      <xdr:rowOff>99061</xdr:rowOff>
    </xdr:to>
    <xdr:pic>
      <xdr:nvPicPr>
        <xdr:cNvPr id="3" name="Picture 2">
          <a:extLst>
            <a:ext uri="{FF2B5EF4-FFF2-40B4-BE49-F238E27FC236}">
              <a16:creationId xmlns:a16="http://schemas.microsoft.com/office/drawing/2014/main" id="{B3F85193-6FA5-70AB-DA39-30D74590E316}"/>
            </a:ext>
          </a:extLst>
        </xdr:cNvPr>
        <xdr:cNvPicPr>
          <a:picLocks noChangeAspect="1"/>
        </xdr:cNvPicPr>
      </xdr:nvPicPr>
      <xdr:blipFill>
        <a:blip xmlns:r="http://schemas.openxmlformats.org/officeDocument/2006/relationships" r:embed="rId2"/>
        <a:stretch>
          <a:fillRect/>
        </a:stretch>
      </xdr:blipFill>
      <xdr:spPr>
        <a:xfrm>
          <a:off x="6720840" y="2628901"/>
          <a:ext cx="4026421" cy="2331720"/>
        </a:xfrm>
        <a:prstGeom prst="rect">
          <a:avLst/>
        </a:prstGeom>
      </xdr:spPr>
    </xdr:pic>
    <xdr:clientData/>
  </xdr:twoCellAnchor>
  <xdr:twoCellAnchor editAs="oneCell">
    <xdr:from>
      <xdr:col>18</xdr:col>
      <xdr:colOff>0</xdr:colOff>
      <xdr:row>0</xdr:row>
      <xdr:rowOff>1</xdr:rowOff>
    </xdr:from>
    <xdr:to>
      <xdr:col>25</xdr:col>
      <xdr:colOff>160020</xdr:colOff>
      <xdr:row>14</xdr:row>
      <xdr:rowOff>139367</xdr:rowOff>
    </xdr:to>
    <xdr:pic>
      <xdr:nvPicPr>
        <xdr:cNvPr id="5" name="Picture 4">
          <a:extLst>
            <a:ext uri="{FF2B5EF4-FFF2-40B4-BE49-F238E27FC236}">
              <a16:creationId xmlns:a16="http://schemas.microsoft.com/office/drawing/2014/main" id="{94970C37-D7FB-CF8C-E4F2-7C9DF0CB0D96}"/>
            </a:ext>
          </a:extLst>
        </xdr:cNvPr>
        <xdr:cNvPicPr>
          <a:picLocks noChangeAspect="1"/>
        </xdr:cNvPicPr>
      </xdr:nvPicPr>
      <xdr:blipFill>
        <a:blip xmlns:r="http://schemas.openxmlformats.org/officeDocument/2006/relationships" r:embed="rId3"/>
        <a:stretch>
          <a:fillRect/>
        </a:stretch>
      </xdr:blipFill>
      <xdr:spPr>
        <a:xfrm>
          <a:off x="12473940" y="1"/>
          <a:ext cx="4427220" cy="248632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workbookViewId="0">
      <selection activeCell="H15" sqref="H15"/>
    </sheetView>
  </sheetViews>
  <sheetFormatPr defaultColWidth="12.6640625" defaultRowHeight="15" customHeight="1" x14ac:dyDescent="0.25"/>
  <cols>
    <col min="2" max="2" width="14.109375" customWidth="1"/>
  </cols>
  <sheetData>
    <row r="1" spans="1:7" ht="15.75" customHeight="1" x14ac:dyDescent="0.25">
      <c r="A1" s="1" t="s">
        <v>0</v>
      </c>
      <c r="B1" s="1" t="s">
        <v>1</v>
      </c>
      <c r="C1" s="1" t="s">
        <v>2</v>
      </c>
      <c r="D1" s="1" t="s">
        <v>3</v>
      </c>
      <c r="E1" s="1" t="s">
        <v>4</v>
      </c>
      <c r="F1" s="1" t="s">
        <v>5</v>
      </c>
      <c r="G1" s="2"/>
    </row>
    <row r="2" spans="1:7" ht="15.75" customHeight="1" x14ac:dyDescent="0.25">
      <c r="A2" s="3" t="s">
        <v>6</v>
      </c>
      <c r="B2" s="3" t="s">
        <v>7</v>
      </c>
      <c r="C2" s="3" t="s">
        <v>8</v>
      </c>
      <c r="D2" s="3">
        <v>1000</v>
      </c>
      <c r="E2" s="3">
        <v>30</v>
      </c>
      <c r="F2" s="3" t="s">
        <v>9</v>
      </c>
      <c r="G2" s="3"/>
    </row>
    <row r="3" spans="1:7" ht="15.75" customHeight="1" x14ac:dyDescent="0.25">
      <c r="A3" s="4" t="s">
        <v>10</v>
      </c>
      <c r="B3" s="4" t="s">
        <v>11</v>
      </c>
      <c r="C3" s="4" t="s">
        <v>12</v>
      </c>
      <c r="D3" s="4">
        <v>80</v>
      </c>
      <c r="E3" s="4">
        <v>15</v>
      </c>
      <c r="F3" s="4" t="s">
        <v>13</v>
      </c>
      <c r="G3" s="3"/>
    </row>
    <row r="4" spans="1:7" ht="15.75" customHeight="1" x14ac:dyDescent="0.25">
      <c r="A4" s="3" t="s">
        <v>14</v>
      </c>
      <c r="B4" s="3" t="s">
        <v>15</v>
      </c>
      <c r="C4" s="3" t="s">
        <v>16</v>
      </c>
      <c r="D4" s="3">
        <v>130</v>
      </c>
      <c r="E4" s="3">
        <v>40</v>
      </c>
      <c r="F4" s="3" t="s">
        <v>17</v>
      </c>
      <c r="G4" s="3"/>
    </row>
    <row r="5" spans="1:7" ht="15.75" customHeight="1" x14ac:dyDescent="0.25">
      <c r="A5" s="4" t="s">
        <v>18</v>
      </c>
      <c r="B5" s="4" t="s">
        <v>19</v>
      </c>
      <c r="C5" s="4" t="s">
        <v>20</v>
      </c>
      <c r="D5" s="4">
        <v>900</v>
      </c>
      <c r="E5" s="4">
        <v>25</v>
      </c>
      <c r="F5" s="4" t="s">
        <v>9</v>
      </c>
      <c r="G5" s="3"/>
    </row>
    <row r="6" spans="1:7" ht="15.75" customHeight="1" x14ac:dyDescent="0.25">
      <c r="A6" s="3" t="s">
        <v>21</v>
      </c>
      <c r="B6" s="3" t="s">
        <v>22</v>
      </c>
      <c r="C6" s="3" t="s">
        <v>23</v>
      </c>
      <c r="D6" s="3">
        <v>70</v>
      </c>
      <c r="E6" s="3">
        <v>20</v>
      </c>
      <c r="F6" s="3" t="s">
        <v>24</v>
      </c>
      <c r="G6" s="3"/>
    </row>
    <row r="7" spans="1:7" ht="15.75" customHeight="1" x14ac:dyDescent="0.25">
      <c r="A7" s="4" t="s">
        <v>25</v>
      </c>
      <c r="B7" s="4" t="s">
        <v>26</v>
      </c>
      <c r="C7" s="4" t="s">
        <v>27</v>
      </c>
      <c r="D7" s="4">
        <v>200</v>
      </c>
      <c r="E7" s="4">
        <v>45</v>
      </c>
      <c r="F7" s="4" t="s">
        <v>9</v>
      </c>
      <c r="G7" s="3"/>
    </row>
    <row r="8" spans="1:7" ht="15.75" customHeight="1" x14ac:dyDescent="0.25">
      <c r="A8" s="3" t="s">
        <v>28</v>
      </c>
      <c r="B8" s="3" t="s">
        <v>29</v>
      </c>
      <c r="C8" s="3" t="s">
        <v>30</v>
      </c>
      <c r="D8" s="3">
        <v>30</v>
      </c>
      <c r="E8" s="3">
        <v>5</v>
      </c>
      <c r="F8" s="3" t="s">
        <v>13</v>
      </c>
      <c r="G8" s="3"/>
    </row>
    <row r="9" spans="1:7" ht="15.75" customHeight="1" x14ac:dyDescent="0.25">
      <c r="A9" s="4" t="s">
        <v>31</v>
      </c>
      <c r="B9" s="4" t="s">
        <v>32</v>
      </c>
      <c r="C9" s="4" t="s">
        <v>33</v>
      </c>
      <c r="D9" s="4">
        <v>90</v>
      </c>
      <c r="E9" s="4">
        <v>35</v>
      </c>
      <c r="F9" s="4" t="s">
        <v>17</v>
      </c>
      <c r="G9" s="3"/>
    </row>
    <row r="10" spans="1:7" ht="15.75" customHeight="1" x14ac:dyDescent="0.25">
      <c r="A10" s="3" t="s">
        <v>34</v>
      </c>
      <c r="B10" s="3" t="s">
        <v>35</v>
      </c>
      <c r="C10" s="3" t="s">
        <v>36</v>
      </c>
      <c r="D10" s="3">
        <v>500</v>
      </c>
      <c r="E10" s="3">
        <v>50</v>
      </c>
      <c r="F10" s="3" t="s">
        <v>9</v>
      </c>
      <c r="G10" s="3"/>
    </row>
    <row r="11" spans="1:7" ht="15.75" customHeight="1" x14ac:dyDescent="0.25">
      <c r="A11" s="4" t="s">
        <v>37</v>
      </c>
      <c r="B11" s="4" t="s">
        <v>38</v>
      </c>
      <c r="C11" s="4" t="s">
        <v>39</v>
      </c>
      <c r="D11" s="4">
        <v>130</v>
      </c>
      <c r="E11" s="4">
        <v>10</v>
      </c>
      <c r="F11" s="4" t="s">
        <v>24</v>
      </c>
      <c r="G11" s="3"/>
    </row>
    <row r="12" spans="1:7" ht="15.75" customHeight="1" x14ac:dyDescent="0.25">
      <c r="A12" s="3" t="s">
        <v>40</v>
      </c>
      <c r="B12" s="3" t="s">
        <v>7</v>
      </c>
      <c r="C12" s="3" t="s">
        <v>41</v>
      </c>
      <c r="D12" s="3">
        <v>950</v>
      </c>
      <c r="E12" s="3">
        <v>25</v>
      </c>
      <c r="F12" s="3" t="s">
        <v>9</v>
      </c>
      <c r="G12" s="3"/>
    </row>
    <row r="13" spans="1:7" ht="15.75" customHeight="1" x14ac:dyDescent="0.25">
      <c r="A13" s="4" t="s">
        <v>42</v>
      </c>
      <c r="B13" s="4" t="s">
        <v>11</v>
      </c>
      <c r="C13" s="4" t="s">
        <v>30</v>
      </c>
      <c r="D13" s="4">
        <v>90</v>
      </c>
      <c r="E13" s="4">
        <v>40</v>
      </c>
      <c r="F13" s="4" t="s">
        <v>13</v>
      </c>
      <c r="G13" s="3"/>
    </row>
    <row r="14" spans="1:7" ht="15.75" customHeight="1" x14ac:dyDescent="0.25">
      <c r="A14" s="3" t="s">
        <v>43</v>
      </c>
      <c r="B14" s="3" t="s">
        <v>15</v>
      </c>
      <c r="C14" s="3" t="s">
        <v>44</v>
      </c>
      <c r="D14" s="3">
        <v>120</v>
      </c>
      <c r="E14" s="3">
        <v>35</v>
      </c>
      <c r="F14" s="3" t="s">
        <v>17</v>
      </c>
      <c r="G14" s="3"/>
    </row>
    <row r="15" spans="1:7" ht="15.75" customHeight="1" x14ac:dyDescent="0.25">
      <c r="A15" s="4" t="s">
        <v>45</v>
      </c>
      <c r="B15" s="4" t="s">
        <v>46</v>
      </c>
      <c r="C15" s="4" t="s">
        <v>47</v>
      </c>
      <c r="D15" s="4">
        <v>150</v>
      </c>
      <c r="E15" s="4">
        <v>15</v>
      </c>
      <c r="F15" s="4" t="s">
        <v>9</v>
      </c>
      <c r="G15" s="3"/>
    </row>
    <row r="16" spans="1:7" ht="15.75" customHeight="1" x14ac:dyDescent="0.25">
      <c r="A16" s="3" t="s">
        <v>48</v>
      </c>
      <c r="B16" s="3" t="s">
        <v>26</v>
      </c>
      <c r="C16" s="3" t="s">
        <v>49</v>
      </c>
      <c r="D16" s="3">
        <v>250</v>
      </c>
      <c r="E16" s="3">
        <v>20</v>
      </c>
      <c r="F16" s="3" t="s">
        <v>9</v>
      </c>
      <c r="G16" s="3"/>
    </row>
    <row r="17" spans="1:7" ht="15.75" customHeight="1" x14ac:dyDescent="0.25">
      <c r="A17" s="4" t="s">
        <v>50</v>
      </c>
      <c r="B17" s="4" t="s">
        <v>51</v>
      </c>
      <c r="C17" s="4" t="s">
        <v>52</v>
      </c>
      <c r="D17" s="4">
        <v>50</v>
      </c>
      <c r="E17" s="4">
        <v>35</v>
      </c>
      <c r="F17" s="4" t="s">
        <v>53</v>
      </c>
      <c r="G17" s="3"/>
    </row>
    <row r="18" spans="1:7" ht="15.75" customHeight="1" x14ac:dyDescent="0.25">
      <c r="A18" s="3" t="s">
        <v>54</v>
      </c>
      <c r="B18" s="3" t="s">
        <v>46</v>
      </c>
      <c r="C18" s="3" t="s">
        <v>55</v>
      </c>
      <c r="D18" s="3">
        <v>160</v>
      </c>
      <c r="E18" s="3">
        <v>15</v>
      </c>
      <c r="F18" s="3" t="s">
        <v>9</v>
      </c>
      <c r="G18" s="3"/>
    </row>
    <row r="19" spans="1:7" ht="15.75" customHeight="1" x14ac:dyDescent="0.25">
      <c r="A19" s="4" t="s">
        <v>56</v>
      </c>
      <c r="B19" s="4" t="s">
        <v>7</v>
      </c>
      <c r="C19" s="4" t="s">
        <v>57</v>
      </c>
      <c r="D19" s="4">
        <v>980</v>
      </c>
      <c r="E19" s="4">
        <v>10</v>
      </c>
      <c r="F19" s="4" t="s">
        <v>9</v>
      </c>
      <c r="G19" s="3"/>
    </row>
    <row r="20" spans="1:7" ht="15.75" customHeight="1" x14ac:dyDescent="0.25">
      <c r="A20" s="3" t="s">
        <v>58</v>
      </c>
      <c r="B20" s="3" t="s">
        <v>59</v>
      </c>
      <c r="C20" s="3" t="s">
        <v>60</v>
      </c>
      <c r="D20" s="3">
        <v>150</v>
      </c>
      <c r="E20" s="3">
        <v>15</v>
      </c>
      <c r="F20" s="3" t="s">
        <v>13</v>
      </c>
      <c r="G20" s="3"/>
    </row>
    <row r="21" spans="1:7" ht="15.75" customHeight="1" x14ac:dyDescent="0.25">
      <c r="A21" s="4" t="s">
        <v>61</v>
      </c>
      <c r="B21" s="4" t="s">
        <v>62</v>
      </c>
      <c r="C21" s="4" t="s">
        <v>63</v>
      </c>
      <c r="D21" s="4">
        <v>200</v>
      </c>
      <c r="E21" s="4">
        <v>10</v>
      </c>
      <c r="F21" s="4" t="s">
        <v>24</v>
      </c>
      <c r="G21" s="3"/>
    </row>
    <row r="22" spans="1:7" ht="15.75" customHeight="1" x14ac:dyDescent="0.25">
      <c r="A22" s="3" t="s">
        <v>64</v>
      </c>
      <c r="B22" s="3" t="s">
        <v>65</v>
      </c>
      <c r="C22" s="3" t="s">
        <v>66</v>
      </c>
      <c r="D22" s="3">
        <v>700</v>
      </c>
      <c r="E22" s="3">
        <v>50</v>
      </c>
      <c r="F22" s="3" t="s">
        <v>9</v>
      </c>
      <c r="G22" s="3"/>
    </row>
    <row r="23" spans="1:7" ht="15.75" customHeight="1" x14ac:dyDescent="0.25">
      <c r="A23" s="4" t="s">
        <v>67</v>
      </c>
      <c r="B23" s="4" t="s">
        <v>68</v>
      </c>
      <c r="C23" s="4" t="s">
        <v>69</v>
      </c>
      <c r="D23" s="4">
        <v>80</v>
      </c>
      <c r="E23" s="4">
        <v>20</v>
      </c>
      <c r="F23" s="4" t="s">
        <v>17</v>
      </c>
      <c r="G23" s="3"/>
    </row>
    <row r="24" spans="1:7" ht="15.75" customHeight="1" x14ac:dyDescent="0.25">
      <c r="A24" s="3" t="s">
        <v>70</v>
      </c>
      <c r="B24" s="3" t="s">
        <v>71</v>
      </c>
      <c r="C24" s="3" t="s">
        <v>72</v>
      </c>
      <c r="D24" s="3">
        <v>150</v>
      </c>
      <c r="E24" s="3">
        <v>30</v>
      </c>
      <c r="F24" s="3" t="s">
        <v>9</v>
      </c>
      <c r="G24" s="3"/>
    </row>
    <row r="25" spans="1:7" ht="15.75" customHeight="1" x14ac:dyDescent="0.25">
      <c r="A25" s="4" t="s">
        <v>50</v>
      </c>
      <c r="B25" s="4" t="s">
        <v>51</v>
      </c>
      <c r="C25" s="4" t="s">
        <v>52</v>
      </c>
      <c r="D25" s="4">
        <v>50</v>
      </c>
      <c r="E25" s="4">
        <v>35</v>
      </c>
      <c r="F25" s="4" t="s">
        <v>53</v>
      </c>
      <c r="G25" s="5"/>
    </row>
    <row r="26" spans="1:7" ht="15.75" customHeight="1" x14ac:dyDescent="0.25">
      <c r="A26" s="3" t="s">
        <v>73</v>
      </c>
      <c r="B26" s="3" t="s">
        <v>19</v>
      </c>
      <c r="C26" s="3" t="s">
        <v>74</v>
      </c>
      <c r="D26" s="3">
        <v>800</v>
      </c>
      <c r="E26" s="3">
        <v>45</v>
      </c>
      <c r="F26" s="3" t="s">
        <v>9</v>
      </c>
      <c r="G26" s="3"/>
    </row>
    <row r="27" spans="1:7" ht="15.75" customHeight="1" x14ac:dyDescent="0.25">
      <c r="A27" s="4" t="s">
        <v>75</v>
      </c>
      <c r="B27" s="4" t="s">
        <v>59</v>
      </c>
      <c r="C27" s="4" t="s">
        <v>76</v>
      </c>
      <c r="D27" s="4">
        <v>130</v>
      </c>
      <c r="E27" s="4">
        <v>25</v>
      </c>
      <c r="F27" s="4" t="s">
        <v>13</v>
      </c>
      <c r="G27" s="3"/>
    </row>
    <row r="28" spans="1:7" ht="15.75" customHeight="1" x14ac:dyDescent="0.25">
      <c r="A28" s="3" t="s">
        <v>77</v>
      </c>
      <c r="B28" s="3" t="s">
        <v>32</v>
      </c>
      <c r="C28" s="3" t="s">
        <v>78</v>
      </c>
      <c r="D28" s="3">
        <v>400</v>
      </c>
      <c r="E28" s="3">
        <v>40</v>
      </c>
      <c r="F28" s="3" t="s">
        <v>17</v>
      </c>
      <c r="G28" s="3"/>
    </row>
    <row r="29" spans="1:7" ht="15.75" customHeight="1" x14ac:dyDescent="0.25">
      <c r="A29" s="4" t="s">
        <v>48</v>
      </c>
      <c r="B29" s="4" t="s">
        <v>26</v>
      </c>
      <c r="C29" s="4" t="s">
        <v>49</v>
      </c>
      <c r="D29" s="4">
        <v>230</v>
      </c>
      <c r="E29" s="4">
        <v>20</v>
      </c>
      <c r="F29" s="4" t="s">
        <v>9</v>
      </c>
      <c r="G29" s="5"/>
    </row>
    <row r="30" spans="1:7" ht="15.75" customHeight="1" x14ac:dyDescent="0.25">
      <c r="A30" s="3" t="s">
        <v>79</v>
      </c>
      <c r="B30" s="3" t="s">
        <v>80</v>
      </c>
      <c r="C30" s="3" t="s">
        <v>81</v>
      </c>
      <c r="D30" s="3">
        <v>60</v>
      </c>
      <c r="E30" s="3">
        <v>30</v>
      </c>
      <c r="F30" s="3" t="s">
        <v>13</v>
      </c>
      <c r="G30" s="3"/>
    </row>
    <row r="31" spans="1:7" ht="15.75" customHeight="1" x14ac:dyDescent="0.25">
      <c r="A31" s="4" t="s">
        <v>82</v>
      </c>
      <c r="B31" s="4" t="s">
        <v>83</v>
      </c>
      <c r="C31" s="4" t="s">
        <v>84</v>
      </c>
      <c r="D31" s="4">
        <v>40</v>
      </c>
      <c r="E31" s="4">
        <v>10</v>
      </c>
      <c r="F31" s="4" t="s">
        <v>17</v>
      </c>
      <c r="G31" s="3"/>
    </row>
    <row r="32" spans="1:7" ht="15.75" customHeight="1" x14ac:dyDescent="0.25">
      <c r="A32" s="3" t="s">
        <v>85</v>
      </c>
      <c r="B32" s="3" t="s">
        <v>71</v>
      </c>
      <c r="C32" s="3" t="s">
        <v>86</v>
      </c>
      <c r="D32" s="3">
        <v>130</v>
      </c>
      <c r="E32" s="3">
        <v>5</v>
      </c>
      <c r="F32" s="3" t="s">
        <v>9</v>
      </c>
      <c r="G32" s="3"/>
    </row>
    <row r="33" spans="1:7" ht="15.75" customHeight="1" x14ac:dyDescent="0.25">
      <c r="A33" s="4" t="s">
        <v>87</v>
      </c>
      <c r="B33" s="4" t="s">
        <v>88</v>
      </c>
      <c r="C33" s="4" t="s">
        <v>89</v>
      </c>
      <c r="D33" s="4">
        <v>50</v>
      </c>
      <c r="E33" s="4">
        <v>50</v>
      </c>
      <c r="F33" s="4" t="s">
        <v>13</v>
      </c>
      <c r="G33" s="3"/>
    </row>
    <row r="34" spans="1:7" ht="15.75" customHeight="1" x14ac:dyDescent="0.25">
      <c r="A34" s="3" t="s">
        <v>40</v>
      </c>
      <c r="B34" s="3" t="s">
        <v>7</v>
      </c>
      <c r="C34" s="3" t="s">
        <v>41</v>
      </c>
      <c r="D34" s="3">
        <v>950</v>
      </c>
      <c r="E34" s="3">
        <v>25</v>
      </c>
      <c r="F34" s="3" t="s">
        <v>9</v>
      </c>
      <c r="G34" s="3"/>
    </row>
    <row r="35" spans="1:7" ht="15.75" customHeight="1" x14ac:dyDescent="0.25">
      <c r="A35" s="4" t="s">
        <v>90</v>
      </c>
      <c r="B35" s="4" t="s">
        <v>91</v>
      </c>
      <c r="C35" s="4" t="s">
        <v>92</v>
      </c>
      <c r="D35" s="4">
        <v>100</v>
      </c>
      <c r="E35" s="4">
        <v>20</v>
      </c>
      <c r="F35" s="4" t="s">
        <v>53</v>
      </c>
      <c r="G35" s="3"/>
    </row>
    <row r="36" spans="1:7" ht="15.75" customHeight="1" x14ac:dyDescent="0.25"/>
    <row r="37" spans="1:7" ht="15.75" customHeight="1" x14ac:dyDescent="0.25"/>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C3FF-A930-4658-8D23-5B87464170B5}">
  <dimension ref="A1:J35"/>
  <sheetViews>
    <sheetView topLeftCell="C1" workbookViewId="0">
      <selection activeCell="J13" sqref="J13"/>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1" bestFit="1" customWidth="1"/>
    <col min="8" max="8" width="12.6640625" bestFit="1" customWidth="1"/>
    <col min="9" max="9" width="16.5546875" bestFit="1" customWidth="1"/>
  </cols>
  <sheetData>
    <row r="1" spans="1:10" x14ac:dyDescent="0.25">
      <c r="A1" s="1" t="s">
        <v>0</v>
      </c>
      <c r="B1" s="1" t="s">
        <v>1</v>
      </c>
      <c r="C1" s="1" t="s">
        <v>2</v>
      </c>
      <c r="D1" s="1" t="s">
        <v>3</v>
      </c>
      <c r="E1" s="1" t="s">
        <v>4</v>
      </c>
      <c r="F1" s="1" t="s">
        <v>5</v>
      </c>
      <c r="H1" s="6" t="s">
        <v>109</v>
      </c>
    </row>
    <row r="2" spans="1:10" x14ac:dyDescent="0.25">
      <c r="A2" s="3" t="s">
        <v>6</v>
      </c>
      <c r="B2" s="3" t="s">
        <v>7</v>
      </c>
      <c r="C2" s="3" t="s">
        <v>8</v>
      </c>
      <c r="D2" s="3">
        <v>1000</v>
      </c>
      <c r="E2" s="3">
        <v>30</v>
      </c>
      <c r="F2" s="3" t="s">
        <v>9</v>
      </c>
      <c r="H2" s="6" t="s">
        <v>98</v>
      </c>
      <c r="I2" s="6" t="s">
        <v>93</v>
      </c>
      <c r="J2" s="6" t="s">
        <v>100</v>
      </c>
    </row>
    <row r="3" spans="1:10" x14ac:dyDescent="0.25">
      <c r="A3" s="4" t="s">
        <v>10</v>
      </c>
      <c r="B3" s="4" t="s">
        <v>11</v>
      </c>
      <c r="C3" s="4" t="s">
        <v>12</v>
      </c>
      <c r="D3" s="4">
        <v>80</v>
      </c>
      <c r="E3" s="4">
        <v>15</v>
      </c>
      <c r="F3" s="4" t="s">
        <v>13</v>
      </c>
      <c r="H3" s="6"/>
      <c r="I3" s="6"/>
      <c r="J3" s="6"/>
    </row>
    <row r="4" spans="1:10" x14ac:dyDescent="0.25">
      <c r="A4" s="3" t="s">
        <v>14</v>
      </c>
      <c r="B4" s="3" t="s">
        <v>15</v>
      </c>
      <c r="C4" s="3" t="s">
        <v>16</v>
      </c>
      <c r="D4" s="3">
        <v>130</v>
      </c>
      <c r="E4" s="3">
        <v>40</v>
      </c>
      <c r="F4" s="3" t="s">
        <v>17</v>
      </c>
      <c r="H4" s="6"/>
      <c r="I4" s="6" t="s">
        <v>94</v>
      </c>
      <c r="J4" s="6" t="s">
        <v>95</v>
      </c>
    </row>
    <row r="5" spans="1:10" x14ac:dyDescent="0.25">
      <c r="A5" s="4" t="s">
        <v>18</v>
      </c>
      <c r="B5" s="4" t="s">
        <v>19</v>
      </c>
      <c r="C5" s="4" t="s">
        <v>20</v>
      </c>
      <c r="D5" s="4">
        <v>900</v>
      </c>
      <c r="E5" s="4">
        <v>25</v>
      </c>
      <c r="F5" s="4" t="s">
        <v>9</v>
      </c>
      <c r="H5" s="6"/>
      <c r="I5" s="6"/>
      <c r="J5" s="6" t="s">
        <v>96</v>
      </c>
    </row>
    <row r="6" spans="1:10" x14ac:dyDescent="0.25">
      <c r="A6" s="3" t="s">
        <v>21</v>
      </c>
      <c r="B6" s="3" t="s">
        <v>22</v>
      </c>
      <c r="C6" s="3" t="s">
        <v>23</v>
      </c>
      <c r="D6" s="3">
        <v>70</v>
      </c>
      <c r="E6" s="3">
        <v>20</v>
      </c>
      <c r="F6" s="3" t="s">
        <v>24</v>
      </c>
      <c r="H6" s="6"/>
      <c r="I6" s="6"/>
      <c r="J6" s="6" t="s">
        <v>97</v>
      </c>
    </row>
    <row r="7" spans="1:10" x14ac:dyDescent="0.25">
      <c r="A7" s="4" t="s">
        <v>25</v>
      </c>
      <c r="B7" s="4" t="s">
        <v>26</v>
      </c>
      <c r="C7" s="4" t="s">
        <v>27</v>
      </c>
      <c r="D7" s="4">
        <v>200</v>
      </c>
      <c r="E7" s="4">
        <v>45</v>
      </c>
      <c r="F7" s="4" t="s">
        <v>9</v>
      </c>
      <c r="H7" s="6"/>
      <c r="I7" s="6"/>
      <c r="J7" s="6" t="s">
        <v>177</v>
      </c>
    </row>
    <row r="8" spans="1:10" x14ac:dyDescent="0.25">
      <c r="A8" s="3" t="s">
        <v>28</v>
      </c>
      <c r="B8" s="3" t="s">
        <v>29</v>
      </c>
      <c r="C8" s="3" t="s">
        <v>30</v>
      </c>
      <c r="D8" s="3">
        <v>30</v>
      </c>
      <c r="E8" s="3">
        <v>5</v>
      </c>
      <c r="F8" s="3" t="s">
        <v>13</v>
      </c>
      <c r="H8" s="6"/>
      <c r="I8" s="6"/>
      <c r="J8" s="6"/>
    </row>
    <row r="9" spans="1:10" x14ac:dyDescent="0.25">
      <c r="A9" s="4" t="s">
        <v>31</v>
      </c>
      <c r="B9" s="4" t="s">
        <v>32</v>
      </c>
      <c r="C9" s="4" t="s">
        <v>33</v>
      </c>
      <c r="D9" s="4">
        <v>90</v>
      </c>
      <c r="E9" s="4">
        <v>35</v>
      </c>
      <c r="F9" s="4" t="s">
        <v>17</v>
      </c>
      <c r="H9" s="6" t="s">
        <v>99</v>
      </c>
      <c r="I9" s="6" t="s">
        <v>93</v>
      </c>
      <c r="J9" s="6" t="s">
        <v>101</v>
      </c>
    </row>
    <row r="10" spans="1:10" x14ac:dyDescent="0.25">
      <c r="A10" s="3" t="s">
        <v>34</v>
      </c>
      <c r="B10" s="3" t="s">
        <v>35</v>
      </c>
      <c r="C10" s="3" t="s">
        <v>36</v>
      </c>
      <c r="D10" s="3">
        <v>500</v>
      </c>
      <c r="E10" s="3">
        <v>50</v>
      </c>
      <c r="F10" s="3" t="s">
        <v>9</v>
      </c>
      <c r="H10" s="6"/>
      <c r="I10" s="6"/>
      <c r="J10" s="6"/>
    </row>
    <row r="11" spans="1:10" x14ac:dyDescent="0.25">
      <c r="A11" s="4" t="s">
        <v>37</v>
      </c>
      <c r="B11" s="4" t="s">
        <v>38</v>
      </c>
      <c r="C11" s="4" t="s">
        <v>39</v>
      </c>
      <c r="D11" s="4">
        <v>130</v>
      </c>
      <c r="E11" s="4">
        <v>10</v>
      </c>
      <c r="F11" s="4" t="s">
        <v>24</v>
      </c>
      <c r="H11" s="6"/>
      <c r="I11" s="6" t="s">
        <v>102</v>
      </c>
      <c r="J11" s="6" t="s">
        <v>103</v>
      </c>
    </row>
    <row r="12" spans="1:10" x14ac:dyDescent="0.25">
      <c r="A12" s="3" t="s">
        <v>40</v>
      </c>
      <c r="B12" s="3" t="s">
        <v>7</v>
      </c>
      <c r="C12" s="3" t="s">
        <v>41</v>
      </c>
      <c r="D12" s="3">
        <v>950</v>
      </c>
      <c r="E12" s="3">
        <v>25</v>
      </c>
      <c r="F12" s="3" t="s">
        <v>9</v>
      </c>
      <c r="H12" s="6"/>
      <c r="I12" s="6" t="s">
        <v>104</v>
      </c>
      <c r="J12" s="6" t="s">
        <v>178</v>
      </c>
    </row>
    <row r="13" spans="1:10" x14ac:dyDescent="0.25">
      <c r="A13" s="4" t="s">
        <v>42</v>
      </c>
      <c r="B13" s="4" t="s">
        <v>11</v>
      </c>
      <c r="C13" s="4" t="s">
        <v>30</v>
      </c>
      <c r="D13" s="4">
        <v>90</v>
      </c>
      <c r="E13" s="4">
        <v>40</v>
      </c>
      <c r="F13" s="4" t="s">
        <v>13</v>
      </c>
      <c r="I13" s="6"/>
      <c r="J13" s="6" t="s">
        <v>179</v>
      </c>
    </row>
    <row r="14" spans="1:10" x14ac:dyDescent="0.25">
      <c r="A14" s="3" t="s">
        <v>43</v>
      </c>
      <c r="B14" s="3" t="s">
        <v>15</v>
      </c>
      <c r="C14" s="3" t="s">
        <v>44</v>
      </c>
      <c r="D14" s="3">
        <v>120</v>
      </c>
      <c r="E14" s="3">
        <v>35</v>
      </c>
      <c r="F14" s="3" t="s">
        <v>17</v>
      </c>
    </row>
    <row r="15" spans="1:10" x14ac:dyDescent="0.25">
      <c r="A15" s="4" t="s">
        <v>45</v>
      </c>
      <c r="B15" s="4" t="s">
        <v>46</v>
      </c>
      <c r="C15" s="4" t="s">
        <v>47</v>
      </c>
      <c r="D15" s="4">
        <v>150</v>
      </c>
      <c r="E15" s="4">
        <v>15</v>
      </c>
      <c r="F15" s="4" t="s">
        <v>9</v>
      </c>
    </row>
    <row r="16" spans="1:10" x14ac:dyDescent="0.25">
      <c r="A16" s="3" t="s">
        <v>48</v>
      </c>
      <c r="B16" s="3" t="s">
        <v>26</v>
      </c>
      <c r="C16" s="3" t="s">
        <v>49</v>
      </c>
      <c r="D16" s="3">
        <v>250</v>
      </c>
      <c r="E16" s="3">
        <v>20</v>
      </c>
      <c r="F16" s="3" t="s">
        <v>9</v>
      </c>
    </row>
    <row r="17" spans="1:6" x14ac:dyDescent="0.25">
      <c r="A17" s="4" t="s">
        <v>50</v>
      </c>
      <c r="B17" s="4" t="s">
        <v>51</v>
      </c>
      <c r="C17" s="4" t="s">
        <v>52</v>
      </c>
      <c r="D17" s="4">
        <v>50</v>
      </c>
      <c r="E17" s="4">
        <v>35</v>
      </c>
      <c r="F17" s="4" t="s">
        <v>53</v>
      </c>
    </row>
    <row r="18" spans="1:6" x14ac:dyDescent="0.25">
      <c r="A18" s="3" t="s">
        <v>54</v>
      </c>
      <c r="B18" s="3" t="s">
        <v>46</v>
      </c>
      <c r="C18" s="3" t="s">
        <v>55</v>
      </c>
      <c r="D18" s="3">
        <v>160</v>
      </c>
      <c r="E18" s="3">
        <v>15</v>
      </c>
      <c r="F18" s="3" t="s">
        <v>9</v>
      </c>
    </row>
    <row r="19" spans="1:6" x14ac:dyDescent="0.25">
      <c r="A19" s="4" t="s">
        <v>56</v>
      </c>
      <c r="B19" s="4" t="s">
        <v>7</v>
      </c>
      <c r="C19" s="4" t="s">
        <v>57</v>
      </c>
      <c r="D19" s="4">
        <v>980</v>
      </c>
      <c r="E19" s="4">
        <v>10</v>
      </c>
      <c r="F19" s="4" t="s">
        <v>9</v>
      </c>
    </row>
    <row r="20" spans="1:6" x14ac:dyDescent="0.25">
      <c r="A20" s="3" t="s">
        <v>58</v>
      </c>
      <c r="B20" s="3" t="s">
        <v>59</v>
      </c>
      <c r="C20" s="3" t="s">
        <v>60</v>
      </c>
      <c r="D20" s="3">
        <v>150</v>
      </c>
      <c r="E20" s="3">
        <v>15</v>
      </c>
      <c r="F20" s="3" t="s">
        <v>13</v>
      </c>
    </row>
    <row r="21" spans="1:6" x14ac:dyDescent="0.25">
      <c r="A21" s="4" t="s">
        <v>61</v>
      </c>
      <c r="B21" s="4" t="s">
        <v>62</v>
      </c>
      <c r="C21" s="4" t="s">
        <v>63</v>
      </c>
      <c r="D21" s="4">
        <v>200</v>
      </c>
      <c r="E21" s="4">
        <v>10</v>
      </c>
      <c r="F21" s="4" t="s">
        <v>24</v>
      </c>
    </row>
    <row r="22" spans="1:6" x14ac:dyDescent="0.25">
      <c r="A22" s="3" t="s">
        <v>64</v>
      </c>
      <c r="B22" s="3" t="s">
        <v>65</v>
      </c>
      <c r="C22" s="3" t="s">
        <v>66</v>
      </c>
      <c r="D22" s="3">
        <v>700</v>
      </c>
      <c r="E22" s="3">
        <v>50</v>
      </c>
      <c r="F22" s="3" t="s">
        <v>9</v>
      </c>
    </row>
    <row r="23" spans="1:6" x14ac:dyDescent="0.25">
      <c r="A23" s="4" t="s">
        <v>67</v>
      </c>
      <c r="B23" s="4" t="s">
        <v>68</v>
      </c>
      <c r="C23" s="4" t="s">
        <v>69</v>
      </c>
      <c r="D23" s="4">
        <v>80</v>
      </c>
      <c r="E23" s="4">
        <v>20</v>
      </c>
      <c r="F23" s="4" t="s">
        <v>17</v>
      </c>
    </row>
    <row r="24" spans="1:6" x14ac:dyDescent="0.25">
      <c r="A24" s="3" t="s">
        <v>70</v>
      </c>
      <c r="B24" s="3" t="s">
        <v>71</v>
      </c>
      <c r="C24" s="3" t="s">
        <v>72</v>
      </c>
      <c r="D24" s="3">
        <v>150</v>
      </c>
      <c r="E24" s="3">
        <v>30</v>
      </c>
      <c r="F24" s="3" t="s">
        <v>9</v>
      </c>
    </row>
    <row r="25" spans="1:6" x14ac:dyDescent="0.25">
      <c r="A25" s="4" t="s">
        <v>50</v>
      </c>
      <c r="B25" s="4" t="s">
        <v>51</v>
      </c>
      <c r="C25" s="4" t="s">
        <v>52</v>
      </c>
      <c r="D25" s="4">
        <v>50</v>
      </c>
      <c r="E25" s="4">
        <v>35</v>
      </c>
      <c r="F25" s="4" t="s">
        <v>53</v>
      </c>
    </row>
    <row r="26" spans="1:6" x14ac:dyDescent="0.25">
      <c r="A26" s="3" t="s">
        <v>73</v>
      </c>
      <c r="B26" s="3" t="s">
        <v>19</v>
      </c>
      <c r="C26" s="3" t="s">
        <v>74</v>
      </c>
      <c r="D26" s="3">
        <v>800</v>
      </c>
      <c r="E26" s="3">
        <v>45</v>
      </c>
      <c r="F26" s="3" t="s">
        <v>9</v>
      </c>
    </row>
    <row r="27" spans="1:6" x14ac:dyDescent="0.25">
      <c r="A27" s="4" t="s">
        <v>75</v>
      </c>
      <c r="B27" s="4" t="s">
        <v>59</v>
      </c>
      <c r="C27" s="4" t="s">
        <v>76</v>
      </c>
      <c r="D27" s="4">
        <v>130</v>
      </c>
      <c r="E27" s="4">
        <v>25</v>
      </c>
      <c r="F27" s="4" t="s">
        <v>13</v>
      </c>
    </row>
    <row r="28" spans="1:6" x14ac:dyDescent="0.25">
      <c r="A28" s="3" t="s">
        <v>77</v>
      </c>
      <c r="B28" s="3" t="s">
        <v>32</v>
      </c>
      <c r="C28" s="3" t="s">
        <v>78</v>
      </c>
      <c r="D28" s="3">
        <v>400</v>
      </c>
      <c r="E28" s="3">
        <v>40</v>
      </c>
      <c r="F28" s="3" t="s">
        <v>17</v>
      </c>
    </row>
    <row r="29" spans="1:6" x14ac:dyDescent="0.25">
      <c r="A29" s="4" t="s">
        <v>48</v>
      </c>
      <c r="B29" s="4" t="s">
        <v>26</v>
      </c>
      <c r="C29" s="4" t="s">
        <v>49</v>
      </c>
      <c r="D29" s="4">
        <v>230</v>
      </c>
      <c r="E29" s="4">
        <v>20</v>
      </c>
      <c r="F29" s="4" t="s">
        <v>9</v>
      </c>
    </row>
    <row r="30" spans="1:6" x14ac:dyDescent="0.25">
      <c r="A30" s="3" t="s">
        <v>79</v>
      </c>
      <c r="B30" s="3" t="s">
        <v>80</v>
      </c>
      <c r="C30" s="3" t="s">
        <v>81</v>
      </c>
      <c r="D30" s="3">
        <v>60</v>
      </c>
      <c r="E30" s="3">
        <v>30</v>
      </c>
      <c r="F30" s="3" t="s">
        <v>13</v>
      </c>
    </row>
    <row r="31" spans="1:6" x14ac:dyDescent="0.25">
      <c r="A31" s="4" t="s">
        <v>82</v>
      </c>
      <c r="B31" s="4" t="s">
        <v>83</v>
      </c>
      <c r="C31" s="4" t="s">
        <v>84</v>
      </c>
      <c r="D31" s="4">
        <v>40</v>
      </c>
      <c r="E31" s="4">
        <v>10</v>
      </c>
      <c r="F31" s="4" t="s">
        <v>17</v>
      </c>
    </row>
    <row r="32" spans="1:6" x14ac:dyDescent="0.25">
      <c r="A32" s="3" t="s">
        <v>85</v>
      </c>
      <c r="B32" s="3" t="s">
        <v>71</v>
      </c>
      <c r="C32" s="3" t="s">
        <v>86</v>
      </c>
      <c r="D32" s="3">
        <v>130</v>
      </c>
      <c r="E32" s="3">
        <v>5</v>
      </c>
      <c r="F32" s="3" t="s">
        <v>9</v>
      </c>
    </row>
    <row r="33" spans="1:6" x14ac:dyDescent="0.25">
      <c r="A33" s="4" t="s">
        <v>87</v>
      </c>
      <c r="B33" s="4" t="s">
        <v>88</v>
      </c>
      <c r="C33" s="4" t="s">
        <v>89</v>
      </c>
      <c r="D33" s="4">
        <v>50</v>
      </c>
      <c r="E33" s="4">
        <v>50</v>
      </c>
      <c r="F33" s="4" t="s">
        <v>13</v>
      </c>
    </row>
    <row r="34" spans="1:6" x14ac:dyDescent="0.25">
      <c r="A34" s="3" t="s">
        <v>40</v>
      </c>
      <c r="B34" s="3" t="s">
        <v>7</v>
      </c>
      <c r="C34" s="3" t="s">
        <v>41</v>
      </c>
      <c r="D34" s="3">
        <v>950</v>
      </c>
      <c r="E34" s="3">
        <v>25</v>
      </c>
      <c r="F34" s="3" t="s">
        <v>9</v>
      </c>
    </row>
    <row r="35" spans="1:6" x14ac:dyDescent="0.25">
      <c r="A35" s="4" t="s">
        <v>90</v>
      </c>
      <c r="B35" s="4" t="s">
        <v>91</v>
      </c>
      <c r="C35" s="4" t="s">
        <v>92</v>
      </c>
      <c r="D35" s="4">
        <v>100</v>
      </c>
      <c r="E35" s="4">
        <v>20</v>
      </c>
      <c r="F35" s="4"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79065-B090-4E93-9B58-9AA15A91EC5B}">
  <dimension ref="A1:I35"/>
  <sheetViews>
    <sheetView topLeftCell="A4" workbookViewId="0">
      <selection activeCell="I6" sqref="I6"/>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3.88671875" customWidth="1"/>
    <col min="8" max="8" width="10.88671875" bestFit="1" customWidth="1"/>
  </cols>
  <sheetData>
    <row r="1" spans="1:9" x14ac:dyDescent="0.25">
      <c r="A1" s="1" t="s">
        <v>0</v>
      </c>
      <c r="B1" s="1" t="s">
        <v>1</v>
      </c>
      <c r="C1" s="1" t="s">
        <v>2</v>
      </c>
      <c r="D1" s="1" t="s">
        <v>3</v>
      </c>
      <c r="E1" s="1" t="s">
        <v>4</v>
      </c>
      <c r="F1" s="1" t="s">
        <v>5</v>
      </c>
      <c r="H1" s="6" t="s">
        <v>109</v>
      </c>
    </row>
    <row r="2" spans="1:9" x14ac:dyDescent="0.25">
      <c r="A2" s="3" t="s">
        <v>6</v>
      </c>
      <c r="B2" s="3" t="s">
        <v>7</v>
      </c>
      <c r="C2" s="3" t="s">
        <v>8</v>
      </c>
      <c r="D2" s="3">
        <v>1000</v>
      </c>
      <c r="E2" s="3">
        <v>30</v>
      </c>
      <c r="F2" s="3" t="s">
        <v>9</v>
      </c>
      <c r="H2" s="6" t="s">
        <v>105</v>
      </c>
      <c r="I2" s="6" t="s">
        <v>106</v>
      </c>
    </row>
    <row r="3" spans="1:9" x14ac:dyDescent="0.25">
      <c r="A3" s="4" t="s">
        <v>10</v>
      </c>
      <c r="B3" s="4" t="s">
        <v>11</v>
      </c>
      <c r="C3" s="4" t="s">
        <v>12</v>
      </c>
      <c r="D3" s="4">
        <v>80</v>
      </c>
      <c r="E3" s="4">
        <v>15</v>
      </c>
      <c r="F3" s="4" t="s">
        <v>13</v>
      </c>
    </row>
    <row r="4" spans="1:9" x14ac:dyDescent="0.25">
      <c r="A4" s="3" t="s">
        <v>14</v>
      </c>
      <c r="B4" s="3" t="s">
        <v>15</v>
      </c>
      <c r="C4" s="3" t="s">
        <v>16</v>
      </c>
      <c r="D4" s="3">
        <v>130</v>
      </c>
      <c r="E4" s="3">
        <v>40</v>
      </c>
      <c r="F4" s="3" t="s">
        <v>17</v>
      </c>
      <c r="I4" s="6" t="s">
        <v>183</v>
      </c>
    </row>
    <row r="5" spans="1:9" x14ac:dyDescent="0.25">
      <c r="A5" s="4" t="s">
        <v>18</v>
      </c>
      <c r="B5" s="4" t="s">
        <v>19</v>
      </c>
      <c r="C5" s="4" t="s">
        <v>20</v>
      </c>
      <c r="D5" s="4">
        <v>900</v>
      </c>
      <c r="E5" s="4">
        <v>25</v>
      </c>
      <c r="F5" s="4" t="s">
        <v>9</v>
      </c>
      <c r="H5" s="6" t="s">
        <v>102</v>
      </c>
      <c r="I5" s="6" t="s">
        <v>107</v>
      </c>
    </row>
    <row r="6" spans="1:9" x14ac:dyDescent="0.25">
      <c r="A6" s="3" t="s">
        <v>21</v>
      </c>
      <c r="B6" s="3" t="s">
        <v>22</v>
      </c>
      <c r="C6" s="3" t="s">
        <v>23</v>
      </c>
      <c r="D6" s="3">
        <v>70</v>
      </c>
      <c r="E6" s="3">
        <v>20</v>
      </c>
      <c r="F6" s="3" t="s">
        <v>24</v>
      </c>
      <c r="H6" s="6" t="s">
        <v>104</v>
      </c>
      <c r="I6" s="6" t="s">
        <v>180</v>
      </c>
    </row>
    <row r="7" spans="1:9" x14ac:dyDescent="0.25">
      <c r="A7" s="4" t="s">
        <v>25</v>
      </c>
      <c r="B7" s="4" t="s">
        <v>26</v>
      </c>
      <c r="C7" s="4" t="s">
        <v>27</v>
      </c>
      <c r="D7" s="4">
        <v>200</v>
      </c>
      <c r="E7" s="4">
        <v>45</v>
      </c>
      <c r="F7" s="4" t="s">
        <v>9</v>
      </c>
    </row>
    <row r="8" spans="1:9" x14ac:dyDescent="0.25">
      <c r="A8" s="3" t="s">
        <v>28</v>
      </c>
      <c r="B8" s="3" t="s">
        <v>29</v>
      </c>
      <c r="C8" s="3" t="s">
        <v>30</v>
      </c>
      <c r="D8" s="3">
        <v>30</v>
      </c>
      <c r="E8" s="3">
        <v>5</v>
      </c>
      <c r="F8" s="3" t="s">
        <v>13</v>
      </c>
    </row>
    <row r="9" spans="1:9" x14ac:dyDescent="0.25">
      <c r="A9" s="4" t="s">
        <v>31</v>
      </c>
      <c r="B9" s="4" t="s">
        <v>32</v>
      </c>
      <c r="C9" s="4" t="s">
        <v>33</v>
      </c>
      <c r="D9" s="4">
        <v>90</v>
      </c>
      <c r="E9" s="4">
        <v>35</v>
      </c>
      <c r="F9" s="4" t="s">
        <v>17</v>
      </c>
    </row>
    <row r="10" spans="1:9" x14ac:dyDescent="0.25">
      <c r="A10" s="3" t="s">
        <v>34</v>
      </c>
      <c r="B10" s="3" t="s">
        <v>35</v>
      </c>
      <c r="C10" s="3" t="s">
        <v>36</v>
      </c>
      <c r="D10" s="3">
        <v>500</v>
      </c>
      <c r="E10" s="3">
        <v>50</v>
      </c>
      <c r="F10" s="3" t="s">
        <v>9</v>
      </c>
    </row>
    <row r="11" spans="1:9" x14ac:dyDescent="0.25">
      <c r="A11" s="4" t="s">
        <v>37</v>
      </c>
      <c r="B11" s="4" t="s">
        <v>38</v>
      </c>
      <c r="C11" s="4" t="s">
        <v>39</v>
      </c>
      <c r="D11" s="4">
        <v>130</v>
      </c>
      <c r="E11" s="4">
        <v>10</v>
      </c>
      <c r="F11" s="4" t="s">
        <v>24</v>
      </c>
    </row>
    <row r="12" spans="1:9" x14ac:dyDescent="0.25">
      <c r="A12" s="3" t="s">
        <v>40</v>
      </c>
      <c r="B12" s="3" t="s">
        <v>7</v>
      </c>
      <c r="C12" s="3" t="s">
        <v>41</v>
      </c>
      <c r="D12" s="3">
        <v>950</v>
      </c>
      <c r="E12" s="3">
        <v>25</v>
      </c>
      <c r="F12" s="3" t="s">
        <v>9</v>
      </c>
    </row>
    <row r="13" spans="1:9" x14ac:dyDescent="0.25">
      <c r="A13" s="4" t="s">
        <v>42</v>
      </c>
      <c r="B13" s="4" t="s">
        <v>11</v>
      </c>
      <c r="C13" s="4" t="s">
        <v>30</v>
      </c>
      <c r="D13" s="4">
        <v>90</v>
      </c>
      <c r="E13" s="4">
        <v>40</v>
      </c>
      <c r="F13" s="4" t="s">
        <v>13</v>
      </c>
    </row>
    <row r="14" spans="1:9" x14ac:dyDescent="0.25">
      <c r="A14" s="3" t="s">
        <v>43</v>
      </c>
      <c r="B14" s="3" t="s">
        <v>15</v>
      </c>
      <c r="C14" s="3" t="s">
        <v>44</v>
      </c>
      <c r="D14" s="3">
        <v>120</v>
      </c>
      <c r="E14" s="3">
        <v>35</v>
      </c>
      <c r="F14" s="3" t="s">
        <v>17</v>
      </c>
    </row>
    <row r="15" spans="1:9" x14ac:dyDescent="0.25">
      <c r="A15" s="4" t="s">
        <v>45</v>
      </c>
      <c r="B15" s="4" t="s">
        <v>46</v>
      </c>
      <c r="C15" s="4" t="s">
        <v>47</v>
      </c>
      <c r="D15" s="4">
        <v>150</v>
      </c>
      <c r="E15" s="4">
        <v>15</v>
      </c>
      <c r="F15" s="4" t="s">
        <v>9</v>
      </c>
    </row>
    <row r="16" spans="1:9" x14ac:dyDescent="0.25">
      <c r="A16" s="3" t="s">
        <v>48</v>
      </c>
      <c r="B16" s="3" t="s">
        <v>26</v>
      </c>
      <c r="C16" s="3" t="s">
        <v>49</v>
      </c>
      <c r="D16" s="3">
        <v>250</v>
      </c>
      <c r="E16" s="3">
        <v>20</v>
      </c>
      <c r="F16" s="3" t="s">
        <v>9</v>
      </c>
    </row>
    <row r="17" spans="1:6" x14ac:dyDescent="0.25">
      <c r="A17" s="4" t="s">
        <v>50</v>
      </c>
      <c r="B17" s="4" t="s">
        <v>51</v>
      </c>
      <c r="C17" s="4" t="s">
        <v>52</v>
      </c>
      <c r="D17" s="4">
        <v>50</v>
      </c>
      <c r="E17" s="4">
        <v>35</v>
      </c>
      <c r="F17" s="4" t="s">
        <v>53</v>
      </c>
    </row>
    <row r="18" spans="1:6" x14ac:dyDescent="0.25">
      <c r="A18" s="3" t="s">
        <v>54</v>
      </c>
      <c r="B18" s="3" t="s">
        <v>46</v>
      </c>
      <c r="C18" s="3" t="s">
        <v>55</v>
      </c>
      <c r="D18" s="3">
        <v>160</v>
      </c>
      <c r="E18" s="3">
        <v>15</v>
      </c>
      <c r="F18" s="3" t="s">
        <v>9</v>
      </c>
    </row>
    <row r="19" spans="1:6" x14ac:dyDescent="0.25">
      <c r="A19" s="4" t="s">
        <v>56</v>
      </c>
      <c r="B19" s="4" t="s">
        <v>7</v>
      </c>
      <c r="C19" s="4" t="s">
        <v>57</v>
      </c>
      <c r="D19" s="4">
        <v>980</v>
      </c>
      <c r="E19" s="4">
        <v>10</v>
      </c>
      <c r="F19" s="4" t="s">
        <v>9</v>
      </c>
    </row>
    <row r="20" spans="1:6" x14ac:dyDescent="0.25">
      <c r="A20" s="3" t="s">
        <v>58</v>
      </c>
      <c r="B20" s="3" t="s">
        <v>59</v>
      </c>
      <c r="C20" s="3" t="s">
        <v>60</v>
      </c>
      <c r="D20" s="3">
        <v>150</v>
      </c>
      <c r="E20" s="3">
        <v>15</v>
      </c>
      <c r="F20" s="3" t="s">
        <v>13</v>
      </c>
    </row>
    <row r="21" spans="1:6" x14ac:dyDescent="0.25">
      <c r="A21" s="4" t="s">
        <v>61</v>
      </c>
      <c r="B21" s="4" t="s">
        <v>62</v>
      </c>
      <c r="C21" s="4" t="s">
        <v>63</v>
      </c>
      <c r="D21" s="4">
        <v>200</v>
      </c>
      <c r="E21" s="4">
        <v>10</v>
      </c>
      <c r="F21" s="4" t="s">
        <v>24</v>
      </c>
    </row>
    <row r="22" spans="1:6" x14ac:dyDescent="0.25">
      <c r="A22" s="3" t="s">
        <v>64</v>
      </c>
      <c r="B22" s="3" t="s">
        <v>65</v>
      </c>
      <c r="C22" s="3" t="s">
        <v>66</v>
      </c>
      <c r="D22" s="3">
        <v>700</v>
      </c>
      <c r="E22" s="3">
        <v>50</v>
      </c>
      <c r="F22" s="3" t="s">
        <v>9</v>
      </c>
    </row>
    <row r="23" spans="1:6" x14ac:dyDescent="0.25">
      <c r="A23" s="4" t="s">
        <v>67</v>
      </c>
      <c r="B23" s="4" t="s">
        <v>68</v>
      </c>
      <c r="C23" s="4" t="s">
        <v>69</v>
      </c>
      <c r="D23" s="4">
        <v>80</v>
      </c>
      <c r="E23" s="4">
        <v>20</v>
      </c>
      <c r="F23" s="4" t="s">
        <v>17</v>
      </c>
    </row>
    <row r="24" spans="1:6" x14ac:dyDescent="0.25">
      <c r="A24" s="3" t="s">
        <v>70</v>
      </c>
      <c r="B24" s="3" t="s">
        <v>71</v>
      </c>
      <c r="C24" s="3" t="s">
        <v>72</v>
      </c>
      <c r="D24" s="3">
        <v>150</v>
      </c>
      <c r="E24" s="3">
        <v>30</v>
      </c>
      <c r="F24" s="3" t="s">
        <v>9</v>
      </c>
    </row>
    <row r="25" spans="1:6" x14ac:dyDescent="0.25">
      <c r="A25" s="4" t="s">
        <v>50</v>
      </c>
      <c r="B25" s="4" t="s">
        <v>51</v>
      </c>
      <c r="C25" s="4" t="s">
        <v>52</v>
      </c>
      <c r="D25" s="4">
        <v>50</v>
      </c>
      <c r="E25" s="4">
        <v>35</v>
      </c>
      <c r="F25" s="4" t="s">
        <v>53</v>
      </c>
    </row>
    <row r="26" spans="1:6" x14ac:dyDescent="0.25">
      <c r="A26" s="3" t="s">
        <v>73</v>
      </c>
      <c r="B26" s="3" t="s">
        <v>19</v>
      </c>
      <c r="C26" s="3" t="s">
        <v>74</v>
      </c>
      <c r="D26" s="3">
        <v>800</v>
      </c>
      <c r="E26" s="3">
        <v>45</v>
      </c>
      <c r="F26" s="3" t="s">
        <v>9</v>
      </c>
    </row>
    <row r="27" spans="1:6" x14ac:dyDescent="0.25">
      <c r="A27" s="4" t="s">
        <v>75</v>
      </c>
      <c r="B27" s="4" t="s">
        <v>59</v>
      </c>
      <c r="C27" s="4" t="s">
        <v>76</v>
      </c>
      <c r="D27" s="4">
        <v>130</v>
      </c>
      <c r="E27" s="4">
        <v>25</v>
      </c>
      <c r="F27" s="4" t="s">
        <v>13</v>
      </c>
    </row>
    <row r="28" spans="1:6" x14ac:dyDescent="0.25">
      <c r="A28" s="3" t="s">
        <v>77</v>
      </c>
      <c r="B28" s="3" t="s">
        <v>32</v>
      </c>
      <c r="C28" s="3" t="s">
        <v>78</v>
      </c>
      <c r="D28" s="3">
        <v>400</v>
      </c>
      <c r="E28" s="3">
        <v>40</v>
      </c>
      <c r="F28" s="3" t="s">
        <v>17</v>
      </c>
    </row>
    <row r="29" spans="1:6" x14ac:dyDescent="0.25">
      <c r="A29" s="4" t="s">
        <v>48</v>
      </c>
      <c r="B29" s="4" t="s">
        <v>26</v>
      </c>
      <c r="C29" s="4" t="s">
        <v>49</v>
      </c>
      <c r="D29" s="4">
        <v>230</v>
      </c>
      <c r="E29" s="4">
        <v>20</v>
      </c>
      <c r="F29" s="4" t="s">
        <v>9</v>
      </c>
    </row>
    <row r="30" spans="1:6" x14ac:dyDescent="0.25">
      <c r="A30" s="3" t="s">
        <v>79</v>
      </c>
      <c r="B30" s="3" t="s">
        <v>80</v>
      </c>
      <c r="C30" s="3" t="s">
        <v>81</v>
      </c>
      <c r="D30" s="3">
        <v>60</v>
      </c>
      <c r="E30" s="3">
        <v>30</v>
      </c>
      <c r="F30" s="3" t="s">
        <v>13</v>
      </c>
    </row>
    <row r="31" spans="1:6" x14ac:dyDescent="0.25">
      <c r="A31" s="4" t="s">
        <v>82</v>
      </c>
      <c r="B31" s="4" t="s">
        <v>83</v>
      </c>
      <c r="C31" s="4" t="s">
        <v>84</v>
      </c>
      <c r="D31" s="4">
        <v>40</v>
      </c>
      <c r="E31" s="4">
        <v>10</v>
      </c>
      <c r="F31" s="4" t="s">
        <v>17</v>
      </c>
    </row>
    <row r="32" spans="1:6" x14ac:dyDescent="0.25">
      <c r="A32" s="3" t="s">
        <v>85</v>
      </c>
      <c r="B32" s="3" t="s">
        <v>71</v>
      </c>
      <c r="C32" s="3" t="s">
        <v>86</v>
      </c>
      <c r="D32" s="3">
        <v>130</v>
      </c>
      <c r="E32" s="3">
        <v>5</v>
      </c>
      <c r="F32" s="3" t="s">
        <v>9</v>
      </c>
    </row>
    <row r="33" spans="1:6" x14ac:dyDescent="0.25">
      <c r="A33" s="4" t="s">
        <v>87</v>
      </c>
      <c r="B33" s="4" t="s">
        <v>88</v>
      </c>
      <c r="C33" s="4" t="s">
        <v>89</v>
      </c>
      <c r="D33" s="4">
        <v>50</v>
      </c>
      <c r="E33" s="4">
        <v>50</v>
      </c>
      <c r="F33" s="4" t="s">
        <v>13</v>
      </c>
    </row>
    <row r="34" spans="1:6" x14ac:dyDescent="0.25">
      <c r="A34" s="3" t="s">
        <v>40</v>
      </c>
      <c r="B34" s="3" t="s">
        <v>7</v>
      </c>
      <c r="C34" s="3" t="s">
        <v>41</v>
      </c>
      <c r="D34" s="3">
        <v>950</v>
      </c>
      <c r="E34" s="3">
        <v>25</v>
      </c>
      <c r="F34" s="3" t="s">
        <v>9</v>
      </c>
    </row>
    <row r="35" spans="1:6" x14ac:dyDescent="0.25">
      <c r="A35" s="4" t="s">
        <v>90</v>
      </c>
      <c r="B35" s="4" t="s">
        <v>91</v>
      </c>
      <c r="C35" s="4" t="s">
        <v>92</v>
      </c>
      <c r="D35" s="4">
        <v>100</v>
      </c>
      <c r="E35" s="4">
        <v>20</v>
      </c>
      <c r="F35" s="4" t="s">
        <v>53</v>
      </c>
    </row>
  </sheetData>
  <autoFilter ref="A1:F35" xr:uid="{DDB79065-B090-4E93-9B58-9AA15A91EC5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44A9-E414-49EA-BD43-CFD278369261}">
  <dimension ref="A1:M41"/>
  <sheetViews>
    <sheetView topLeftCell="E19" workbookViewId="0">
      <selection activeCell="S30" sqref="S30"/>
    </sheetView>
  </sheetViews>
  <sheetFormatPr defaultRowHeight="13.2" x14ac:dyDescent="0.25"/>
  <cols>
    <col min="1" max="1" width="10.77734375" bestFit="1" customWidth="1"/>
    <col min="2" max="2" width="18.44140625" customWidth="1"/>
    <col min="3" max="3" width="11.77734375" bestFit="1" customWidth="1"/>
    <col min="4" max="4" width="8.33203125" bestFit="1" customWidth="1"/>
    <col min="5" max="5" width="8.44140625" bestFit="1" customWidth="1"/>
    <col min="6" max="6" width="11" bestFit="1" customWidth="1"/>
    <col min="9" max="9" width="23" bestFit="1" customWidth="1"/>
    <col min="11" max="11" width="13.6640625" bestFit="1" customWidth="1"/>
    <col min="13" max="13" width="11" bestFit="1" customWidth="1"/>
  </cols>
  <sheetData>
    <row r="1" spans="1:13" x14ac:dyDescent="0.25">
      <c r="A1" s="1" t="s">
        <v>0</v>
      </c>
      <c r="B1" s="1" t="s">
        <v>1</v>
      </c>
      <c r="C1" s="1" t="s">
        <v>2</v>
      </c>
      <c r="D1" s="1" t="s">
        <v>3</v>
      </c>
      <c r="E1" s="1" t="s">
        <v>4</v>
      </c>
      <c r="F1" s="1" t="s">
        <v>5</v>
      </c>
      <c r="I1" s="6" t="s">
        <v>184</v>
      </c>
      <c r="K1" s="6" t="s">
        <v>108</v>
      </c>
      <c r="M1" s="6" t="s">
        <v>5</v>
      </c>
    </row>
    <row r="2" spans="1:13" x14ac:dyDescent="0.25">
      <c r="A2" s="3" t="s">
        <v>6</v>
      </c>
      <c r="B2" s="3" t="s">
        <v>7</v>
      </c>
      <c r="C2" s="3" t="s">
        <v>8</v>
      </c>
      <c r="D2" s="3">
        <v>1000</v>
      </c>
      <c r="E2" s="3">
        <v>30</v>
      </c>
      <c r="F2" s="3" t="s">
        <v>9</v>
      </c>
      <c r="I2" t="str" cm="1">
        <f t="array" ref="I2:I35">PROPER(B2:B35)</f>
        <v>Laptop</v>
      </c>
      <c r="K2" t="str" cm="1">
        <f t="array" ref="K2:K35">TRIM(_xlfn.ANCHORARRAY(I2))</f>
        <v>Laptop</v>
      </c>
      <c r="M2" t="s">
        <v>9</v>
      </c>
    </row>
    <row r="3" spans="1:13" x14ac:dyDescent="0.25">
      <c r="A3" s="4" t="s">
        <v>10</v>
      </c>
      <c r="B3" s="4" t="s">
        <v>11</v>
      </c>
      <c r="C3" s="4" t="s">
        <v>12</v>
      </c>
      <c r="D3" s="4">
        <v>80</v>
      </c>
      <c r="E3" s="4">
        <v>15</v>
      </c>
      <c r="F3" s="4" t="s">
        <v>13</v>
      </c>
      <c r="I3" t="str">
        <v>Sneakers</v>
      </c>
      <c r="K3" t="str">
        <v>Sneakers</v>
      </c>
      <c r="M3" t="s">
        <v>13</v>
      </c>
    </row>
    <row r="4" spans="1:13" x14ac:dyDescent="0.25">
      <c r="A4" s="3" t="s">
        <v>14</v>
      </c>
      <c r="B4" s="3" t="s">
        <v>15</v>
      </c>
      <c r="C4" s="3" t="s">
        <v>16</v>
      </c>
      <c r="D4" s="3">
        <v>130</v>
      </c>
      <c r="E4" s="3">
        <v>40</v>
      </c>
      <c r="F4" s="3" t="s">
        <v>17</v>
      </c>
      <c r="I4" t="str">
        <v>Coffee Maker</v>
      </c>
      <c r="K4" t="str">
        <v>Coffee Maker</v>
      </c>
      <c r="M4" t="s">
        <v>17</v>
      </c>
    </row>
    <row r="5" spans="1:13" x14ac:dyDescent="0.25">
      <c r="A5" s="4" t="s">
        <v>18</v>
      </c>
      <c r="B5" s="4" t="s">
        <v>19</v>
      </c>
      <c r="C5" s="4" t="s">
        <v>20</v>
      </c>
      <c r="D5" s="4">
        <v>900</v>
      </c>
      <c r="E5" s="4">
        <v>25</v>
      </c>
      <c r="F5" s="4" t="s">
        <v>9</v>
      </c>
      <c r="I5" t="str">
        <v>Smartphone</v>
      </c>
      <c r="K5" t="str">
        <v>Smartphone</v>
      </c>
      <c r="M5" t="s">
        <v>9</v>
      </c>
    </row>
    <row r="6" spans="1:13" x14ac:dyDescent="0.25">
      <c r="A6" s="3" t="s">
        <v>21</v>
      </c>
      <c r="B6" s="3" t="s">
        <v>22</v>
      </c>
      <c r="C6" s="3" t="s">
        <v>23</v>
      </c>
      <c r="D6" s="3">
        <v>70</v>
      </c>
      <c r="E6" s="3">
        <v>20</v>
      </c>
      <c r="F6" s="3" t="s">
        <v>24</v>
      </c>
      <c r="I6" t="str">
        <v>Backpack</v>
      </c>
      <c r="K6" t="str">
        <v>Backpack</v>
      </c>
      <c r="M6" t="s">
        <v>24</v>
      </c>
    </row>
    <row r="7" spans="1:13" x14ac:dyDescent="0.25">
      <c r="A7" s="4" t="s">
        <v>25</v>
      </c>
      <c r="B7" s="4" t="s">
        <v>26</v>
      </c>
      <c r="C7" s="4" t="s">
        <v>27</v>
      </c>
      <c r="D7" s="4">
        <v>200</v>
      </c>
      <c r="E7" s="4">
        <v>45</v>
      </c>
      <c r="F7" s="4" t="s">
        <v>9</v>
      </c>
      <c r="I7" t="str">
        <v>Headphones</v>
      </c>
      <c r="K7" t="str">
        <v>Headphones</v>
      </c>
      <c r="M7" t="s">
        <v>9</v>
      </c>
    </row>
    <row r="8" spans="1:13" x14ac:dyDescent="0.25">
      <c r="A8" s="3" t="s">
        <v>28</v>
      </c>
      <c r="B8" s="3" t="s">
        <v>29</v>
      </c>
      <c r="C8" s="3" t="s">
        <v>30</v>
      </c>
      <c r="D8" s="3">
        <v>30</v>
      </c>
      <c r="E8" s="3">
        <v>5</v>
      </c>
      <c r="F8" s="3" t="s">
        <v>13</v>
      </c>
      <c r="I8" s="6" t="str">
        <v>T-Shirt</v>
      </c>
      <c r="K8" s="6" t="str">
        <v>T-Shirt</v>
      </c>
      <c r="M8" t="s">
        <v>13</v>
      </c>
    </row>
    <row r="9" spans="1:13" x14ac:dyDescent="0.25">
      <c r="A9" s="4" t="s">
        <v>31</v>
      </c>
      <c r="B9" s="4" t="s">
        <v>32</v>
      </c>
      <c r="C9" s="4" t="s">
        <v>33</v>
      </c>
      <c r="D9" s="4">
        <v>90</v>
      </c>
      <c r="E9" s="4">
        <v>35</v>
      </c>
      <c r="F9" s="4" t="s">
        <v>17</v>
      </c>
      <c r="I9" t="str">
        <v>Blender</v>
      </c>
      <c r="K9" t="str">
        <v>Blender</v>
      </c>
      <c r="M9" t="s">
        <v>17</v>
      </c>
    </row>
    <row r="10" spans="1:13" x14ac:dyDescent="0.25">
      <c r="A10" s="3" t="s">
        <v>34</v>
      </c>
      <c r="B10" s="3" t="s">
        <v>35</v>
      </c>
      <c r="C10" s="3" t="s">
        <v>36</v>
      </c>
      <c r="D10" s="3">
        <v>500</v>
      </c>
      <c r="E10" s="3">
        <v>50</v>
      </c>
      <c r="F10" s="3" t="s">
        <v>9</v>
      </c>
      <c r="I10" t="str">
        <v>Tablet</v>
      </c>
      <c r="K10" t="str">
        <v>Tablet</v>
      </c>
      <c r="M10" t="s">
        <v>9</v>
      </c>
    </row>
    <row r="11" spans="1:13" x14ac:dyDescent="0.25">
      <c r="A11" s="4" t="s">
        <v>37</v>
      </c>
      <c r="B11" s="4" t="s">
        <v>38</v>
      </c>
      <c r="C11" s="4" t="s">
        <v>39</v>
      </c>
      <c r="D11" s="4">
        <v>130</v>
      </c>
      <c r="E11" s="4">
        <v>10</v>
      </c>
      <c r="F11" s="4" t="s">
        <v>24</v>
      </c>
      <c r="I11" t="str">
        <v>Hiking Boots</v>
      </c>
      <c r="K11" t="str">
        <v>Hiking Boots</v>
      </c>
      <c r="M11" t="s">
        <v>24</v>
      </c>
    </row>
    <row r="12" spans="1:13" x14ac:dyDescent="0.25">
      <c r="A12" s="3" t="s">
        <v>40</v>
      </c>
      <c r="B12" s="3" t="s">
        <v>7</v>
      </c>
      <c r="C12" s="3" t="s">
        <v>41</v>
      </c>
      <c r="D12" s="3">
        <v>950</v>
      </c>
      <c r="E12" s="3">
        <v>25</v>
      </c>
      <c r="F12" s="3" t="s">
        <v>9</v>
      </c>
      <c r="I12" t="str">
        <v>Laptop</v>
      </c>
      <c r="K12" t="str">
        <v>Laptop</v>
      </c>
      <c r="M12" t="s">
        <v>9</v>
      </c>
    </row>
    <row r="13" spans="1:13" x14ac:dyDescent="0.25">
      <c r="A13" s="4" t="s">
        <v>42</v>
      </c>
      <c r="B13" s="4" t="s">
        <v>11</v>
      </c>
      <c r="C13" s="4" t="s">
        <v>30</v>
      </c>
      <c r="D13" s="4">
        <v>90</v>
      </c>
      <c r="E13" s="4">
        <v>40</v>
      </c>
      <c r="F13" s="4" t="s">
        <v>13</v>
      </c>
      <c r="I13" t="str">
        <v>Sneakers</v>
      </c>
      <c r="K13" t="str">
        <v>Sneakers</v>
      </c>
      <c r="M13" t="s">
        <v>13</v>
      </c>
    </row>
    <row r="14" spans="1:13" x14ac:dyDescent="0.25">
      <c r="A14" s="3" t="s">
        <v>43</v>
      </c>
      <c r="B14" s="3" t="s">
        <v>15</v>
      </c>
      <c r="C14" s="3" t="s">
        <v>44</v>
      </c>
      <c r="D14" s="3">
        <v>120</v>
      </c>
      <c r="E14" s="3">
        <v>35</v>
      </c>
      <c r="F14" s="3" t="s">
        <v>17</v>
      </c>
      <c r="I14" t="str">
        <v>Coffee Maker</v>
      </c>
      <c r="K14" t="str">
        <v>Coffee Maker</v>
      </c>
      <c r="M14" t="s">
        <v>17</v>
      </c>
    </row>
    <row r="15" spans="1:13" x14ac:dyDescent="0.25">
      <c r="A15" s="4" t="s">
        <v>45</v>
      </c>
      <c r="B15" s="4" t="s">
        <v>46</v>
      </c>
      <c r="C15" s="4" t="s">
        <v>47</v>
      </c>
      <c r="D15" s="4">
        <v>150</v>
      </c>
      <c r="E15" s="4">
        <v>15</v>
      </c>
      <c r="F15" s="4" t="s">
        <v>9</v>
      </c>
      <c r="I15" t="str">
        <v>Smartwatch</v>
      </c>
      <c r="K15" t="str">
        <v>Smartwatch</v>
      </c>
      <c r="M15" t="s">
        <v>9</v>
      </c>
    </row>
    <row r="16" spans="1:13" x14ac:dyDescent="0.25">
      <c r="A16" s="3" t="s">
        <v>48</v>
      </c>
      <c r="B16" s="3" t="s">
        <v>26</v>
      </c>
      <c r="C16" s="3" t="s">
        <v>49</v>
      </c>
      <c r="D16" s="3">
        <v>250</v>
      </c>
      <c r="E16" s="3">
        <v>20</v>
      </c>
      <c r="F16" s="3" t="s">
        <v>9</v>
      </c>
      <c r="I16" t="str">
        <v>Headphones</v>
      </c>
      <c r="K16" t="str">
        <v>Headphones</v>
      </c>
      <c r="M16" t="s">
        <v>9</v>
      </c>
    </row>
    <row r="17" spans="1:13" x14ac:dyDescent="0.25">
      <c r="A17" s="4" t="s">
        <v>50</v>
      </c>
      <c r="B17" s="4" t="s">
        <v>51</v>
      </c>
      <c r="C17" s="4" t="s">
        <v>52</v>
      </c>
      <c r="D17" s="4">
        <v>50</v>
      </c>
      <c r="E17" s="4">
        <v>35</v>
      </c>
      <c r="F17" s="4" t="s">
        <v>53</v>
      </c>
      <c r="I17" t="str">
        <v>Laptop Bag</v>
      </c>
      <c r="K17" t="str">
        <v>Laptop Bag</v>
      </c>
      <c r="M17" t="s">
        <v>53</v>
      </c>
    </row>
    <row r="18" spans="1:13" x14ac:dyDescent="0.25">
      <c r="A18" s="3" t="s">
        <v>54</v>
      </c>
      <c r="B18" s="3" t="s">
        <v>46</v>
      </c>
      <c r="C18" s="3" t="s">
        <v>55</v>
      </c>
      <c r="D18" s="3">
        <v>160</v>
      </c>
      <c r="E18" s="3">
        <v>15</v>
      </c>
      <c r="F18" s="3" t="s">
        <v>9</v>
      </c>
      <c r="I18" t="str">
        <v>Smartwatch</v>
      </c>
      <c r="K18" t="str">
        <v>Smartwatch</v>
      </c>
      <c r="M18" t="s">
        <v>9</v>
      </c>
    </row>
    <row r="19" spans="1:13" x14ac:dyDescent="0.25">
      <c r="A19" s="4" t="s">
        <v>56</v>
      </c>
      <c r="B19" s="4" t="s">
        <v>7</v>
      </c>
      <c r="C19" s="4" t="s">
        <v>57</v>
      </c>
      <c r="D19" s="4">
        <v>980</v>
      </c>
      <c r="E19" s="4">
        <v>10</v>
      </c>
      <c r="F19" s="4" t="s">
        <v>9</v>
      </c>
      <c r="I19" t="str">
        <v>Laptop</v>
      </c>
      <c r="K19" t="str">
        <v>Laptop</v>
      </c>
      <c r="M19" t="s">
        <v>9</v>
      </c>
    </row>
    <row r="20" spans="1:13" x14ac:dyDescent="0.25">
      <c r="A20" s="3" t="s">
        <v>58</v>
      </c>
      <c r="B20" s="3" t="s">
        <v>59</v>
      </c>
      <c r="C20" s="3" t="s">
        <v>60</v>
      </c>
      <c r="D20" s="3">
        <v>150</v>
      </c>
      <c r="E20" s="3">
        <v>15</v>
      </c>
      <c r="F20" s="3" t="s">
        <v>13</v>
      </c>
      <c r="I20" t="str">
        <v>Sunglasses</v>
      </c>
      <c r="K20" t="str">
        <v>Sunglasses</v>
      </c>
      <c r="M20" t="s">
        <v>13</v>
      </c>
    </row>
    <row r="21" spans="1:13" x14ac:dyDescent="0.25">
      <c r="A21" s="4" t="s">
        <v>61</v>
      </c>
      <c r="B21" s="4" t="s">
        <v>62</v>
      </c>
      <c r="C21" s="4" t="s">
        <v>63</v>
      </c>
      <c r="D21" s="4">
        <v>200</v>
      </c>
      <c r="E21" s="4">
        <v>10</v>
      </c>
      <c r="F21" s="4" t="s">
        <v>24</v>
      </c>
      <c r="I21" t="str">
        <v>Camping Tent</v>
      </c>
      <c r="K21" t="str">
        <v>Camping Tent</v>
      </c>
      <c r="M21" t="s">
        <v>24</v>
      </c>
    </row>
    <row r="22" spans="1:13" x14ac:dyDescent="0.25">
      <c r="A22" s="3" t="s">
        <v>64</v>
      </c>
      <c r="B22" s="3" t="s">
        <v>65</v>
      </c>
      <c r="C22" s="3" t="s">
        <v>66</v>
      </c>
      <c r="D22" s="3">
        <v>700</v>
      </c>
      <c r="E22" s="3">
        <v>50</v>
      </c>
      <c r="F22" s="3" t="s">
        <v>9</v>
      </c>
      <c r="I22" t="str">
        <v>Camera</v>
      </c>
      <c r="K22" t="str">
        <v>Camera</v>
      </c>
      <c r="M22" t="s">
        <v>9</v>
      </c>
    </row>
    <row r="23" spans="1:13" x14ac:dyDescent="0.25">
      <c r="A23" s="4" t="s">
        <v>67</v>
      </c>
      <c r="B23" s="4" t="s">
        <v>68</v>
      </c>
      <c r="C23" s="4" t="s">
        <v>69</v>
      </c>
      <c r="D23" s="4">
        <v>80</v>
      </c>
      <c r="E23" s="4">
        <v>20</v>
      </c>
      <c r="F23" s="4" t="s">
        <v>17</v>
      </c>
      <c r="I23" t="str">
        <v>Microwave</v>
      </c>
      <c r="K23" t="str">
        <v>Microwave</v>
      </c>
      <c r="M23" t="s">
        <v>17</v>
      </c>
    </row>
    <row r="24" spans="1:13" x14ac:dyDescent="0.25">
      <c r="A24" s="3" t="s">
        <v>70</v>
      </c>
      <c r="B24" s="3" t="s">
        <v>71</v>
      </c>
      <c r="C24" s="3" t="s">
        <v>72</v>
      </c>
      <c r="D24" s="3">
        <v>150</v>
      </c>
      <c r="E24" s="3">
        <v>30</v>
      </c>
      <c r="F24" s="3" t="s">
        <v>9</v>
      </c>
      <c r="I24" t="str">
        <v>Fitness Tracker</v>
      </c>
      <c r="K24" t="str">
        <v>Fitness Tracker</v>
      </c>
      <c r="M24" t="s">
        <v>9</v>
      </c>
    </row>
    <row r="25" spans="1:13" x14ac:dyDescent="0.25">
      <c r="A25" s="4" t="s">
        <v>50</v>
      </c>
      <c r="B25" s="4" t="s">
        <v>51</v>
      </c>
      <c r="C25" s="4" t="s">
        <v>52</v>
      </c>
      <c r="D25" s="4">
        <v>50</v>
      </c>
      <c r="E25" s="4">
        <v>35</v>
      </c>
      <c r="F25" s="4" t="s">
        <v>53</v>
      </c>
      <c r="I25" t="str">
        <v>Laptop Bag</v>
      </c>
      <c r="K25" t="str">
        <v>Laptop Bag</v>
      </c>
      <c r="M25" t="s">
        <v>53</v>
      </c>
    </row>
    <row r="26" spans="1:13" x14ac:dyDescent="0.25">
      <c r="A26" s="3" t="s">
        <v>73</v>
      </c>
      <c r="B26" s="3" t="s">
        <v>19</v>
      </c>
      <c r="C26" s="3" t="s">
        <v>74</v>
      </c>
      <c r="D26" s="3">
        <v>800</v>
      </c>
      <c r="E26" s="3">
        <v>45</v>
      </c>
      <c r="F26" s="3" t="s">
        <v>9</v>
      </c>
      <c r="I26" t="str">
        <v>Smartphone</v>
      </c>
      <c r="K26" t="str">
        <v>Smartphone</v>
      </c>
      <c r="M26" t="s">
        <v>9</v>
      </c>
    </row>
    <row r="27" spans="1:13" x14ac:dyDescent="0.25">
      <c r="A27" s="4" t="s">
        <v>75</v>
      </c>
      <c r="B27" s="4" t="s">
        <v>59</v>
      </c>
      <c r="C27" s="4" t="s">
        <v>76</v>
      </c>
      <c r="D27" s="4">
        <v>130</v>
      </c>
      <c r="E27" s="4">
        <v>25</v>
      </c>
      <c r="F27" s="4" t="s">
        <v>13</v>
      </c>
      <c r="I27" t="str">
        <v>Sunglasses</v>
      </c>
      <c r="K27" t="str">
        <v>Sunglasses</v>
      </c>
      <c r="M27" t="s">
        <v>13</v>
      </c>
    </row>
    <row r="28" spans="1:13" x14ac:dyDescent="0.25">
      <c r="A28" s="3" t="s">
        <v>77</v>
      </c>
      <c r="B28" s="3" t="s">
        <v>32</v>
      </c>
      <c r="C28" s="3" t="s">
        <v>78</v>
      </c>
      <c r="D28" s="3">
        <v>400</v>
      </c>
      <c r="E28" s="3">
        <v>40</v>
      </c>
      <c r="F28" s="3" t="s">
        <v>17</v>
      </c>
      <c r="I28" t="str">
        <v>Blender</v>
      </c>
      <c r="K28" t="str">
        <v>Blender</v>
      </c>
      <c r="M28" t="s">
        <v>17</v>
      </c>
    </row>
    <row r="29" spans="1:13" x14ac:dyDescent="0.25">
      <c r="A29" s="4" t="s">
        <v>48</v>
      </c>
      <c r="B29" s="4" t="s">
        <v>26</v>
      </c>
      <c r="C29" s="4" t="s">
        <v>49</v>
      </c>
      <c r="D29" s="4">
        <v>230</v>
      </c>
      <c r="E29" s="4">
        <v>20</v>
      </c>
      <c r="F29" s="4" t="s">
        <v>9</v>
      </c>
      <c r="I29" t="str">
        <v>Headphones</v>
      </c>
      <c r="K29" t="str">
        <v>Headphones</v>
      </c>
      <c r="M29" t="s">
        <v>9</v>
      </c>
    </row>
    <row r="30" spans="1:13" x14ac:dyDescent="0.25">
      <c r="A30" s="3" t="s">
        <v>79</v>
      </c>
      <c r="B30" s="3" t="s">
        <v>80</v>
      </c>
      <c r="C30" s="3" t="s">
        <v>81</v>
      </c>
      <c r="D30" s="3">
        <v>60</v>
      </c>
      <c r="E30" s="3">
        <v>30</v>
      </c>
      <c r="F30" s="3" t="s">
        <v>13</v>
      </c>
      <c r="I30" t="str">
        <v>Dress</v>
      </c>
      <c r="K30" t="str">
        <v>Dress</v>
      </c>
      <c r="M30" t="s">
        <v>13</v>
      </c>
    </row>
    <row r="31" spans="1:13" x14ac:dyDescent="0.25">
      <c r="A31" s="4" t="s">
        <v>82</v>
      </c>
      <c r="B31" s="4" t="s">
        <v>83</v>
      </c>
      <c r="C31" s="4" t="s">
        <v>84</v>
      </c>
      <c r="D31" s="4">
        <v>40</v>
      </c>
      <c r="E31" s="4">
        <v>10</v>
      </c>
      <c r="F31" s="4" t="s">
        <v>17</v>
      </c>
      <c r="I31" t="str">
        <v>Toaster</v>
      </c>
      <c r="K31" t="str">
        <v>Toaster</v>
      </c>
      <c r="M31" t="s">
        <v>17</v>
      </c>
    </row>
    <row r="32" spans="1:13" x14ac:dyDescent="0.25">
      <c r="A32" s="3" t="s">
        <v>85</v>
      </c>
      <c r="B32" s="3" t="s">
        <v>71</v>
      </c>
      <c r="C32" s="3" t="s">
        <v>86</v>
      </c>
      <c r="D32" s="3">
        <v>130</v>
      </c>
      <c r="E32" s="3">
        <v>5</v>
      </c>
      <c r="F32" s="3" t="s">
        <v>9</v>
      </c>
      <c r="I32" t="str">
        <v>Fitness Tracker</v>
      </c>
      <c r="K32" t="str">
        <v>Fitness Tracker</v>
      </c>
      <c r="M32" t="s">
        <v>9</v>
      </c>
    </row>
    <row r="33" spans="1:13" x14ac:dyDescent="0.25">
      <c r="A33" s="4" t="s">
        <v>87</v>
      </c>
      <c r="B33" s="4" t="s">
        <v>88</v>
      </c>
      <c r="C33" s="4" t="s">
        <v>89</v>
      </c>
      <c r="D33" s="4">
        <v>50</v>
      </c>
      <c r="E33" s="4">
        <v>50</v>
      </c>
      <c r="F33" s="4" t="s">
        <v>13</v>
      </c>
      <c r="I33" t="str">
        <v>Jeans</v>
      </c>
      <c r="K33" t="str">
        <v>Jeans</v>
      </c>
      <c r="M33" t="s">
        <v>13</v>
      </c>
    </row>
    <row r="34" spans="1:13" x14ac:dyDescent="0.25">
      <c r="A34" s="3" t="s">
        <v>40</v>
      </c>
      <c r="B34" s="3" t="s">
        <v>7</v>
      </c>
      <c r="C34" s="3" t="s">
        <v>41</v>
      </c>
      <c r="D34" s="3">
        <v>950</v>
      </c>
      <c r="E34" s="3">
        <v>25</v>
      </c>
      <c r="F34" s="3" t="s">
        <v>9</v>
      </c>
      <c r="I34" t="str">
        <v>Laptop</v>
      </c>
      <c r="K34" t="str">
        <v>Laptop</v>
      </c>
      <c r="M34" t="s">
        <v>9</v>
      </c>
    </row>
    <row r="35" spans="1:13" x14ac:dyDescent="0.25">
      <c r="A35" s="4" t="s">
        <v>90</v>
      </c>
      <c r="B35" s="4" t="s">
        <v>91</v>
      </c>
      <c r="C35" s="4" t="s">
        <v>92</v>
      </c>
      <c r="D35" s="4">
        <v>100</v>
      </c>
      <c r="E35" s="4">
        <v>20</v>
      </c>
      <c r="F35" s="4" t="s">
        <v>53</v>
      </c>
      <c r="I35" t="str">
        <v>Watch</v>
      </c>
      <c r="K35" t="str">
        <v>Watch</v>
      </c>
      <c r="M35" t="s">
        <v>53</v>
      </c>
    </row>
    <row r="38" spans="1:13" x14ac:dyDescent="0.25">
      <c r="F38" s="6" t="s">
        <v>109</v>
      </c>
    </row>
    <row r="39" spans="1:13" x14ac:dyDescent="0.25">
      <c r="F39" s="6" t="s">
        <v>110</v>
      </c>
    </row>
    <row r="40" spans="1:13" x14ac:dyDescent="0.25">
      <c r="F40" s="6" t="s">
        <v>111</v>
      </c>
    </row>
    <row r="41" spans="1:13" x14ac:dyDescent="0.25">
      <c r="F41" s="6" t="s">
        <v>112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5976-600B-4DFD-BA4D-31F2F1F51A67}">
  <dimension ref="A1:R41"/>
  <sheetViews>
    <sheetView topLeftCell="D22" zoomScale="102" zoomScaleNormal="102" workbookViewId="0">
      <selection activeCell="F41" sqref="F41"/>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1" bestFit="1" customWidth="1"/>
    <col min="9" max="9" width="15.44140625" customWidth="1"/>
    <col min="18" max="18" width="13.5546875" customWidth="1"/>
  </cols>
  <sheetData>
    <row r="1" spans="1:18" x14ac:dyDescent="0.25">
      <c r="A1" s="1">
        <v>2</v>
      </c>
      <c r="B1" s="1" t="s">
        <v>1</v>
      </c>
      <c r="C1" s="1" t="s">
        <v>2</v>
      </c>
      <c r="D1" s="1" t="s">
        <v>3</v>
      </c>
      <c r="E1" s="1" t="s">
        <v>4</v>
      </c>
      <c r="F1" s="1" t="s">
        <v>5</v>
      </c>
      <c r="I1" s="9" t="s">
        <v>1</v>
      </c>
      <c r="R1" s="6" t="s">
        <v>5</v>
      </c>
    </row>
    <row r="2" spans="1:18" x14ac:dyDescent="0.25">
      <c r="A2" s="3" t="s">
        <v>6</v>
      </c>
      <c r="B2" s="3" t="s">
        <v>7</v>
      </c>
      <c r="C2" s="3" t="s">
        <v>8</v>
      </c>
      <c r="D2" s="3">
        <v>1000</v>
      </c>
      <c r="E2" s="3">
        <v>30</v>
      </c>
      <c r="F2" s="3" t="s">
        <v>9</v>
      </c>
      <c r="I2" t="s">
        <v>7</v>
      </c>
      <c r="R2" t="s">
        <v>9</v>
      </c>
    </row>
    <row r="3" spans="1:18" x14ac:dyDescent="0.25">
      <c r="A3" s="4" t="s">
        <v>10</v>
      </c>
      <c r="B3" s="4" t="s">
        <v>11</v>
      </c>
      <c r="C3" s="4" t="s">
        <v>12</v>
      </c>
      <c r="D3" s="4">
        <v>80</v>
      </c>
      <c r="E3" s="4">
        <v>15</v>
      </c>
      <c r="F3" s="4" t="s">
        <v>13</v>
      </c>
      <c r="I3" t="s">
        <v>11</v>
      </c>
      <c r="R3" t="s">
        <v>13</v>
      </c>
    </row>
    <row r="4" spans="1:18" x14ac:dyDescent="0.25">
      <c r="A4" s="3" t="s">
        <v>14</v>
      </c>
      <c r="B4" s="3" t="s">
        <v>15</v>
      </c>
      <c r="C4" s="3" t="s">
        <v>16</v>
      </c>
      <c r="D4" s="3">
        <v>130</v>
      </c>
      <c r="E4" s="3">
        <v>40</v>
      </c>
      <c r="F4" s="3" t="s">
        <v>17</v>
      </c>
      <c r="I4" t="s">
        <v>15</v>
      </c>
      <c r="R4" t="s">
        <v>17</v>
      </c>
    </row>
    <row r="5" spans="1:18" x14ac:dyDescent="0.25">
      <c r="A5" s="4" t="s">
        <v>18</v>
      </c>
      <c r="B5" s="4" t="s">
        <v>19</v>
      </c>
      <c r="C5" s="4" t="s">
        <v>20</v>
      </c>
      <c r="D5" s="4">
        <v>900</v>
      </c>
      <c r="E5" s="4">
        <v>25</v>
      </c>
      <c r="F5" s="4" t="s">
        <v>9</v>
      </c>
      <c r="I5" t="s">
        <v>19</v>
      </c>
      <c r="R5" t="s">
        <v>9</v>
      </c>
    </row>
    <row r="6" spans="1:18" x14ac:dyDescent="0.25">
      <c r="A6" s="3" t="s">
        <v>21</v>
      </c>
      <c r="B6" s="10" t="s">
        <v>22</v>
      </c>
      <c r="C6" s="3" t="s">
        <v>23</v>
      </c>
      <c r="D6" s="3">
        <v>70</v>
      </c>
      <c r="E6" s="3">
        <v>20</v>
      </c>
      <c r="F6" s="3" t="s">
        <v>24</v>
      </c>
      <c r="I6" t="s">
        <v>22</v>
      </c>
      <c r="R6" t="s">
        <v>24</v>
      </c>
    </row>
    <row r="7" spans="1:18" x14ac:dyDescent="0.25">
      <c r="A7" s="4" t="s">
        <v>25</v>
      </c>
      <c r="B7" s="4" t="s">
        <v>26</v>
      </c>
      <c r="C7" s="4" t="s">
        <v>27</v>
      </c>
      <c r="D7" s="4">
        <v>200</v>
      </c>
      <c r="E7" s="4">
        <v>45</v>
      </c>
      <c r="F7" s="4" t="s">
        <v>9</v>
      </c>
      <c r="I7" t="s">
        <v>26</v>
      </c>
      <c r="R7" t="s">
        <v>9</v>
      </c>
    </row>
    <row r="8" spans="1:18" x14ac:dyDescent="0.25">
      <c r="A8" s="3" t="s">
        <v>28</v>
      </c>
      <c r="B8" s="3" t="s">
        <v>29</v>
      </c>
      <c r="C8" s="3" t="s">
        <v>30</v>
      </c>
      <c r="D8" s="3">
        <v>30</v>
      </c>
      <c r="E8" s="3">
        <v>5</v>
      </c>
      <c r="F8" s="3" t="s">
        <v>13</v>
      </c>
      <c r="I8" t="s">
        <v>29</v>
      </c>
      <c r="R8" t="s">
        <v>13</v>
      </c>
    </row>
    <row r="9" spans="1:18" x14ac:dyDescent="0.25">
      <c r="A9" s="4" t="s">
        <v>31</v>
      </c>
      <c r="B9" s="4" t="s">
        <v>32</v>
      </c>
      <c r="C9" s="4" t="s">
        <v>33</v>
      </c>
      <c r="D9" s="4">
        <v>90</v>
      </c>
      <c r="E9" s="4">
        <v>35</v>
      </c>
      <c r="F9" s="4" t="s">
        <v>17</v>
      </c>
      <c r="I9" t="s">
        <v>32</v>
      </c>
      <c r="R9" t="s">
        <v>17</v>
      </c>
    </row>
    <row r="10" spans="1:18" x14ac:dyDescent="0.25">
      <c r="A10" s="3" t="s">
        <v>34</v>
      </c>
      <c r="B10" s="3" t="s">
        <v>35</v>
      </c>
      <c r="C10" s="3" t="s">
        <v>36</v>
      </c>
      <c r="D10" s="3">
        <v>500</v>
      </c>
      <c r="E10" s="3">
        <v>50</v>
      </c>
      <c r="F10" s="3" t="s">
        <v>9</v>
      </c>
      <c r="I10" t="s">
        <v>35</v>
      </c>
      <c r="R10" t="s">
        <v>9</v>
      </c>
    </row>
    <row r="11" spans="1:18" x14ac:dyDescent="0.25">
      <c r="A11" s="4" t="s">
        <v>37</v>
      </c>
      <c r="B11" s="8" t="s">
        <v>38</v>
      </c>
      <c r="C11" s="4" t="s">
        <v>39</v>
      </c>
      <c r="D11" s="4">
        <v>130</v>
      </c>
      <c r="E11" s="4">
        <v>10</v>
      </c>
      <c r="F11" s="4" t="s">
        <v>24</v>
      </c>
      <c r="I11" t="s">
        <v>38</v>
      </c>
      <c r="R11" t="s">
        <v>24</v>
      </c>
    </row>
    <row r="12" spans="1:18" x14ac:dyDescent="0.25">
      <c r="A12" s="3" t="s">
        <v>40</v>
      </c>
      <c r="B12" s="3" t="s">
        <v>7</v>
      </c>
      <c r="C12" s="3" t="s">
        <v>41</v>
      </c>
      <c r="D12" s="3">
        <v>950</v>
      </c>
      <c r="E12" s="3">
        <v>25</v>
      </c>
      <c r="F12" s="3" t="s">
        <v>9</v>
      </c>
      <c r="I12" t="s">
        <v>7</v>
      </c>
      <c r="R12" t="s">
        <v>9</v>
      </c>
    </row>
    <row r="13" spans="1:18" x14ac:dyDescent="0.25">
      <c r="A13" s="4" t="s">
        <v>42</v>
      </c>
      <c r="B13" s="4" t="s">
        <v>11</v>
      </c>
      <c r="C13" s="4" t="s">
        <v>30</v>
      </c>
      <c r="D13" s="4">
        <v>90</v>
      </c>
      <c r="E13" s="4">
        <v>40</v>
      </c>
      <c r="F13" s="4" t="s">
        <v>13</v>
      </c>
      <c r="I13" t="s">
        <v>11</v>
      </c>
      <c r="R13" t="s">
        <v>13</v>
      </c>
    </row>
    <row r="14" spans="1:18" x14ac:dyDescent="0.25">
      <c r="A14" s="3" t="s">
        <v>43</v>
      </c>
      <c r="B14" s="3" t="s">
        <v>15</v>
      </c>
      <c r="C14" s="3" t="s">
        <v>44</v>
      </c>
      <c r="D14" s="3">
        <v>120</v>
      </c>
      <c r="E14" s="3">
        <v>35</v>
      </c>
      <c r="F14" s="3" t="s">
        <v>17</v>
      </c>
      <c r="I14" t="s">
        <v>15</v>
      </c>
      <c r="R14" t="s">
        <v>17</v>
      </c>
    </row>
    <row r="15" spans="1:18" x14ac:dyDescent="0.25">
      <c r="A15" s="4" t="s">
        <v>45</v>
      </c>
      <c r="B15" s="4" t="s">
        <v>46</v>
      </c>
      <c r="C15" s="4" t="s">
        <v>47</v>
      </c>
      <c r="D15" s="4">
        <v>150</v>
      </c>
      <c r="E15" s="4">
        <v>15</v>
      </c>
      <c r="F15" s="4" t="s">
        <v>9</v>
      </c>
      <c r="I15" t="s">
        <v>46</v>
      </c>
      <c r="R15" t="s">
        <v>9</v>
      </c>
    </row>
    <row r="16" spans="1:18" x14ac:dyDescent="0.25">
      <c r="A16" s="3" t="s">
        <v>48</v>
      </c>
      <c r="B16" s="3" t="s">
        <v>26</v>
      </c>
      <c r="C16" s="3" t="s">
        <v>49</v>
      </c>
      <c r="D16" s="3">
        <v>250</v>
      </c>
      <c r="E16" s="3">
        <v>20</v>
      </c>
      <c r="F16" s="3" t="s">
        <v>9</v>
      </c>
      <c r="I16" t="s">
        <v>26</v>
      </c>
      <c r="R16" t="s">
        <v>9</v>
      </c>
    </row>
    <row r="17" spans="1:18" x14ac:dyDescent="0.25">
      <c r="A17" s="4" t="s">
        <v>50</v>
      </c>
      <c r="B17" s="4" t="s">
        <v>51</v>
      </c>
      <c r="C17" s="4" t="s">
        <v>52</v>
      </c>
      <c r="D17" s="4">
        <v>50</v>
      </c>
      <c r="E17" s="4">
        <v>35</v>
      </c>
      <c r="F17" s="8" t="s">
        <v>181</v>
      </c>
      <c r="I17" t="s">
        <v>51</v>
      </c>
      <c r="R17" s="7" t="s">
        <v>53</v>
      </c>
    </row>
    <row r="18" spans="1:18" x14ac:dyDescent="0.25">
      <c r="A18" s="3" t="s">
        <v>54</v>
      </c>
      <c r="B18" s="3" t="s">
        <v>46</v>
      </c>
      <c r="C18" s="3" t="s">
        <v>55</v>
      </c>
      <c r="D18" s="3">
        <v>160</v>
      </c>
      <c r="E18" s="3">
        <v>15</v>
      </c>
      <c r="F18" s="3" t="s">
        <v>9</v>
      </c>
      <c r="I18" t="s">
        <v>46</v>
      </c>
      <c r="R18" t="s">
        <v>9</v>
      </c>
    </row>
    <row r="19" spans="1:18" x14ac:dyDescent="0.25">
      <c r="A19" s="4" t="s">
        <v>56</v>
      </c>
      <c r="B19" s="4" t="s">
        <v>7</v>
      </c>
      <c r="C19" s="4" t="s">
        <v>57</v>
      </c>
      <c r="D19" s="4">
        <v>980</v>
      </c>
      <c r="E19" s="4">
        <v>10</v>
      </c>
      <c r="F19" s="4" t="s">
        <v>9</v>
      </c>
      <c r="I19" t="s">
        <v>7</v>
      </c>
      <c r="R19" t="s">
        <v>9</v>
      </c>
    </row>
    <row r="20" spans="1:18" x14ac:dyDescent="0.25">
      <c r="A20" s="3" t="s">
        <v>58</v>
      </c>
      <c r="B20" s="3" t="s">
        <v>59</v>
      </c>
      <c r="C20" s="3" t="s">
        <v>60</v>
      </c>
      <c r="D20" s="3">
        <v>150</v>
      </c>
      <c r="E20" s="3">
        <v>15</v>
      </c>
      <c r="F20" s="3" t="s">
        <v>13</v>
      </c>
      <c r="I20" t="s">
        <v>59</v>
      </c>
      <c r="R20" t="s">
        <v>13</v>
      </c>
    </row>
    <row r="21" spans="1:18" x14ac:dyDescent="0.25">
      <c r="A21" s="4" t="s">
        <v>61</v>
      </c>
      <c r="B21" s="4" t="s">
        <v>62</v>
      </c>
      <c r="C21" s="4" t="s">
        <v>63</v>
      </c>
      <c r="D21" s="4">
        <v>200</v>
      </c>
      <c r="E21" s="4">
        <v>10</v>
      </c>
      <c r="F21" s="4" t="s">
        <v>24</v>
      </c>
      <c r="I21" t="s">
        <v>62</v>
      </c>
      <c r="R21" t="s">
        <v>24</v>
      </c>
    </row>
    <row r="22" spans="1:18" x14ac:dyDescent="0.25">
      <c r="A22" s="3" t="s">
        <v>64</v>
      </c>
      <c r="B22" s="3" t="s">
        <v>65</v>
      </c>
      <c r="C22" s="3" t="s">
        <v>66</v>
      </c>
      <c r="D22" s="3">
        <v>700</v>
      </c>
      <c r="E22" s="3">
        <v>50</v>
      </c>
      <c r="F22" s="3" t="s">
        <v>9</v>
      </c>
      <c r="I22" t="s">
        <v>65</v>
      </c>
      <c r="R22" t="s">
        <v>9</v>
      </c>
    </row>
    <row r="23" spans="1:18" x14ac:dyDescent="0.25">
      <c r="A23" s="4" t="s">
        <v>67</v>
      </c>
      <c r="B23" s="4" t="s">
        <v>68</v>
      </c>
      <c r="C23" s="4" t="s">
        <v>69</v>
      </c>
      <c r="D23" s="4">
        <v>80</v>
      </c>
      <c r="E23" s="4">
        <v>20</v>
      </c>
      <c r="F23" s="4" t="s">
        <v>17</v>
      </c>
      <c r="I23" t="s">
        <v>68</v>
      </c>
      <c r="R23" t="s">
        <v>17</v>
      </c>
    </row>
    <row r="24" spans="1:18" x14ac:dyDescent="0.25">
      <c r="A24" s="3" t="s">
        <v>70</v>
      </c>
      <c r="B24" s="3" t="s">
        <v>71</v>
      </c>
      <c r="C24" s="3" t="s">
        <v>72</v>
      </c>
      <c r="D24" s="3">
        <v>150</v>
      </c>
      <c r="E24" s="3">
        <v>30</v>
      </c>
      <c r="F24" s="3" t="s">
        <v>9</v>
      </c>
      <c r="I24" t="s">
        <v>71</v>
      </c>
      <c r="R24" t="s">
        <v>9</v>
      </c>
    </row>
    <row r="25" spans="1:18" x14ac:dyDescent="0.25">
      <c r="A25" s="4" t="s">
        <v>50</v>
      </c>
      <c r="B25" s="4" t="s">
        <v>51</v>
      </c>
      <c r="C25" s="4" t="s">
        <v>52</v>
      </c>
      <c r="D25" s="4">
        <v>50</v>
      </c>
      <c r="E25" s="4">
        <v>35</v>
      </c>
      <c r="F25" s="8" t="s">
        <v>181</v>
      </c>
      <c r="I25" t="s">
        <v>51</v>
      </c>
      <c r="R25" t="s">
        <v>53</v>
      </c>
    </row>
    <row r="26" spans="1:18" x14ac:dyDescent="0.25">
      <c r="A26" s="3" t="s">
        <v>73</v>
      </c>
      <c r="B26" s="3" t="s">
        <v>19</v>
      </c>
      <c r="C26" s="3" t="s">
        <v>74</v>
      </c>
      <c r="D26" s="3">
        <v>800</v>
      </c>
      <c r="E26" s="3">
        <v>45</v>
      </c>
      <c r="F26" s="3" t="s">
        <v>9</v>
      </c>
      <c r="I26" t="s">
        <v>19</v>
      </c>
      <c r="R26" t="s">
        <v>9</v>
      </c>
    </row>
    <row r="27" spans="1:18" x14ac:dyDescent="0.25">
      <c r="A27" s="4" t="s">
        <v>75</v>
      </c>
      <c r="B27" s="4" t="s">
        <v>59</v>
      </c>
      <c r="C27" s="4" t="s">
        <v>76</v>
      </c>
      <c r="D27" s="4">
        <v>130</v>
      </c>
      <c r="E27" s="4">
        <v>25</v>
      </c>
      <c r="F27" s="4" t="s">
        <v>13</v>
      </c>
      <c r="I27" t="s">
        <v>59</v>
      </c>
      <c r="R27" t="s">
        <v>13</v>
      </c>
    </row>
    <row r="28" spans="1:18" x14ac:dyDescent="0.25">
      <c r="A28" s="3" t="s">
        <v>77</v>
      </c>
      <c r="B28" s="3" t="s">
        <v>32</v>
      </c>
      <c r="C28" s="3" t="s">
        <v>78</v>
      </c>
      <c r="D28" s="3">
        <v>400</v>
      </c>
      <c r="E28" s="3">
        <v>40</v>
      </c>
      <c r="F28" s="3" t="s">
        <v>17</v>
      </c>
      <c r="I28" t="s">
        <v>32</v>
      </c>
      <c r="R28" t="s">
        <v>17</v>
      </c>
    </row>
    <row r="29" spans="1:18" x14ac:dyDescent="0.25">
      <c r="A29" s="4" t="s">
        <v>48</v>
      </c>
      <c r="B29" s="4" t="s">
        <v>26</v>
      </c>
      <c r="C29" s="4" t="s">
        <v>49</v>
      </c>
      <c r="D29" s="4">
        <v>230</v>
      </c>
      <c r="E29" s="4">
        <v>20</v>
      </c>
      <c r="F29" s="4" t="s">
        <v>9</v>
      </c>
      <c r="I29" t="s">
        <v>26</v>
      </c>
      <c r="R29" t="s">
        <v>9</v>
      </c>
    </row>
    <row r="30" spans="1:18" x14ac:dyDescent="0.25">
      <c r="A30" s="3" t="s">
        <v>79</v>
      </c>
      <c r="B30" s="3" t="s">
        <v>80</v>
      </c>
      <c r="C30" s="3" t="s">
        <v>81</v>
      </c>
      <c r="D30" s="3">
        <v>60</v>
      </c>
      <c r="E30" s="3">
        <v>30</v>
      </c>
      <c r="F30" s="3" t="s">
        <v>13</v>
      </c>
      <c r="I30" t="s">
        <v>80</v>
      </c>
      <c r="R30" t="s">
        <v>13</v>
      </c>
    </row>
    <row r="31" spans="1:18" x14ac:dyDescent="0.25">
      <c r="A31" s="4" t="s">
        <v>82</v>
      </c>
      <c r="B31" s="4" t="s">
        <v>83</v>
      </c>
      <c r="C31" s="4" t="s">
        <v>84</v>
      </c>
      <c r="D31" s="4">
        <v>40</v>
      </c>
      <c r="E31" s="4">
        <v>10</v>
      </c>
      <c r="F31" s="4" t="s">
        <v>17</v>
      </c>
      <c r="I31" t="s">
        <v>83</v>
      </c>
      <c r="R31" t="s">
        <v>17</v>
      </c>
    </row>
    <row r="32" spans="1:18" x14ac:dyDescent="0.25">
      <c r="A32" s="3" t="s">
        <v>85</v>
      </c>
      <c r="B32" s="3" t="s">
        <v>71</v>
      </c>
      <c r="C32" s="3" t="s">
        <v>86</v>
      </c>
      <c r="D32" s="3">
        <v>130</v>
      </c>
      <c r="E32" s="3">
        <v>5</v>
      </c>
      <c r="F32" s="3" t="s">
        <v>9</v>
      </c>
      <c r="I32" t="s">
        <v>71</v>
      </c>
      <c r="R32" t="s">
        <v>9</v>
      </c>
    </row>
    <row r="33" spans="1:18" x14ac:dyDescent="0.25">
      <c r="A33" s="4" t="s">
        <v>87</v>
      </c>
      <c r="B33" s="4" t="s">
        <v>88</v>
      </c>
      <c r="C33" s="4" t="s">
        <v>89</v>
      </c>
      <c r="D33" s="4">
        <v>50</v>
      </c>
      <c r="E33" s="4">
        <v>50</v>
      </c>
      <c r="F33" s="4" t="s">
        <v>13</v>
      </c>
      <c r="I33" t="s">
        <v>88</v>
      </c>
      <c r="R33" t="s">
        <v>13</v>
      </c>
    </row>
    <row r="34" spans="1:18" x14ac:dyDescent="0.25">
      <c r="A34" s="3" t="s">
        <v>40</v>
      </c>
      <c r="B34" s="3" t="s">
        <v>7</v>
      </c>
      <c r="C34" s="3" t="s">
        <v>41</v>
      </c>
      <c r="D34" s="3">
        <v>950</v>
      </c>
      <c r="E34" s="3">
        <v>25</v>
      </c>
      <c r="F34" s="3" t="s">
        <v>9</v>
      </c>
      <c r="I34" t="s">
        <v>7</v>
      </c>
      <c r="R34" t="s">
        <v>9</v>
      </c>
    </row>
    <row r="35" spans="1:18" x14ac:dyDescent="0.25">
      <c r="A35" s="4" t="s">
        <v>90</v>
      </c>
      <c r="B35" s="4" t="s">
        <v>91</v>
      </c>
      <c r="C35" s="4" t="s">
        <v>92</v>
      </c>
      <c r="D35" s="4">
        <v>100</v>
      </c>
      <c r="E35" s="4">
        <v>20</v>
      </c>
      <c r="F35" s="8" t="s">
        <v>181</v>
      </c>
      <c r="I35" t="s">
        <v>91</v>
      </c>
      <c r="R35" t="s">
        <v>53</v>
      </c>
    </row>
    <row r="38" spans="1:18" x14ac:dyDescent="0.25">
      <c r="F38" s="6" t="s">
        <v>109</v>
      </c>
    </row>
    <row r="39" spans="1:18" x14ac:dyDescent="0.25">
      <c r="F39" s="6" t="s">
        <v>185</v>
      </c>
    </row>
    <row r="40" spans="1:18" x14ac:dyDescent="0.25">
      <c r="F40" s="6" t="s">
        <v>113</v>
      </c>
    </row>
    <row r="41" spans="1:18" x14ac:dyDescent="0.25">
      <c r="F41" s="6" t="s">
        <v>186</v>
      </c>
    </row>
  </sheetData>
  <autoFilter ref="A1:F35" xr:uid="{E1D25976-600B-4DFD-BA4D-31F2F1F51A6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D054-E4F7-4D5B-9964-BB4DA2824A67}">
  <dimension ref="A1:N41"/>
  <sheetViews>
    <sheetView topLeftCell="A22" workbookViewId="0">
      <selection activeCell="F40" sqref="F40"/>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1" bestFit="1" customWidth="1"/>
    <col min="9" max="9" width="10.77734375" bestFit="1" customWidth="1"/>
    <col min="10" max="10" width="13.6640625" bestFit="1" customWidth="1"/>
    <col min="11" max="11" width="11.109375" bestFit="1" customWidth="1"/>
    <col min="12" max="12" width="8.21875" bestFit="1" customWidth="1"/>
    <col min="13" max="13" width="7.6640625" bestFit="1" customWidth="1"/>
    <col min="14" max="14" width="11" bestFit="1" customWidth="1"/>
  </cols>
  <sheetData>
    <row r="1" spans="1:14" x14ac:dyDescent="0.25">
      <c r="A1" s="1" t="s">
        <v>0</v>
      </c>
      <c r="B1" s="1" t="s">
        <v>1</v>
      </c>
      <c r="C1" s="1" t="s">
        <v>2</v>
      </c>
      <c r="D1" s="1" t="s">
        <v>3</v>
      </c>
      <c r="E1" s="1" t="s">
        <v>4</v>
      </c>
      <c r="F1" s="1" t="s">
        <v>5</v>
      </c>
      <c r="I1" s="6" t="s">
        <v>0</v>
      </c>
      <c r="J1" s="6" t="s">
        <v>1</v>
      </c>
      <c r="K1" s="6" t="s">
        <v>2</v>
      </c>
      <c r="L1" s="6" t="s">
        <v>3</v>
      </c>
      <c r="M1" s="6" t="s">
        <v>4</v>
      </c>
      <c r="N1" s="6" t="s">
        <v>5</v>
      </c>
    </row>
    <row r="2" spans="1:14" x14ac:dyDescent="0.25">
      <c r="A2" s="3" t="s">
        <v>6</v>
      </c>
      <c r="B2" s="3" t="s">
        <v>7</v>
      </c>
      <c r="C2" s="3" t="s">
        <v>8</v>
      </c>
      <c r="D2" s="3">
        <v>1000</v>
      </c>
      <c r="E2" s="3">
        <v>30</v>
      </c>
      <c r="F2" s="3" t="s">
        <v>9</v>
      </c>
      <c r="I2" t="s">
        <v>6</v>
      </c>
      <c r="J2" t="s">
        <v>7</v>
      </c>
      <c r="K2" t="s">
        <v>8</v>
      </c>
      <c r="L2">
        <v>1000</v>
      </c>
      <c r="M2">
        <v>30</v>
      </c>
      <c r="N2" t="s">
        <v>9</v>
      </c>
    </row>
    <row r="3" spans="1:14" x14ac:dyDescent="0.25">
      <c r="A3" s="4" t="s">
        <v>10</v>
      </c>
      <c r="B3" s="4" t="s">
        <v>11</v>
      </c>
      <c r="C3" s="4" t="s">
        <v>12</v>
      </c>
      <c r="D3" s="4">
        <v>80</v>
      </c>
      <c r="E3" s="4">
        <v>15</v>
      </c>
      <c r="F3" s="4" t="s">
        <v>13</v>
      </c>
      <c r="I3" t="s">
        <v>10</v>
      </c>
      <c r="J3" t="s">
        <v>11</v>
      </c>
      <c r="K3" t="s">
        <v>12</v>
      </c>
      <c r="L3">
        <v>80</v>
      </c>
      <c r="M3">
        <v>15</v>
      </c>
      <c r="N3" t="s">
        <v>13</v>
      </c>
    </row>
    <row r="4" spans="1:14" x14ac:dyDescent="0.25">
      <c r="A4" s="3" t="s">
        <v>14</v>
      </c>
      <c r="B4" s="3" t="s">
        <v>15</v>
      </c>
      <c r="C4" s="3" t="s">
        <v>16</v>
      </c>
      <c r="D4" s="3">
        <v>130</v>
      </c>
      <c r="E4" s="3">
        <v>40</v>
      </c>
      <c r="F4" s="3" t="s">
        <v>17</v>
      </c>
      <c r="I4" t="s">
        <v>14</v>
      </c>
      <c r="J4" t="s">
        <v>15</v>
      </c>
      <c r="K4" t="s">
        <v>16</v>
      </c>
      <c r="L4">
        <v>130</v>
      </c>
      <c r="M4">
        <v>40</v>
      </c>
      <c r="N4" t="s">
        <v>17</v>
      </c>
    </row>
    <row r="5" spans="1:14" x14ac:dyDescent="0.25">
      <c r="A5" s="4" t="s">
        <v>18</v>
      </c>
      <c r="B5" s="4" t="s">
        <v>19</v>
      </c>
      <c r="C5" s="4" t="s">
        <v>20</v>
      </c>
      <c r="D5" s="4">
        <v>900</v>
      </c>
      <c r="E5" s="4">
        <v>25</v>
      </c>
      <c r="F5" s="4" t="s">
        <v>9</v>
      </c>
      <c r="I5" t="s">
        <v>18</v>
      </c>
      <c r="J5" t="s">
        <v>19</v>
      </c>
      <c r="K5" t="s">
        <v>20</v>
      </c>
      <c r="L5">
        <v>900</v>
      </c>
      <c r="M5">
        <v>25</v>
      </c>
      <c r="N5" t="s">
        <v>9</v>
      </c>
    </row>
    <row r="6" spans="1:14" x14ac:dyDescent="0.25">
      <c r="A6" s="3" t="s">
        <v>21</v>
      </c>
      <c r="B6" s="10" t="s">
        <v>22</v>
      </c>
      <c r="C6" s="3" t="s">
        <v>23</v>
      </c>
      <c r="D6" s="3">
        <v>70</v>
      </c>
      <c r="E6" s="3">
        <v>20</v>
      </c>
      <c r="F6" s="3" t="s">
        <v>24</v>
      </c>
      <c r="I6" t="s">
        <v>21</v>
      </c>
      <c r="J6" t="s">
        <v>22</v>
      </c>
      <c r="K6" t="s">
        <v>23</v>
      </c>
      <c r="L6">
        <v>70</v>
      </c>
      <c r="M6">
        <v>20</v>
      </c>
      <c r="N6" t="s">
        <v>24</v>
      </c>
    </row>
    <row r="7" spans="1:14" x14ac:dyDescent="0.25">
      <c r="A7" s="4" t="s">
        <v>25</v>
      </c>
      <c r="B7" s="4" t="s">
        <v>26</v>
      </c>
      <c r="C7" s="4" t="s">
        <v>27</v>
      </c>
      <c r="D7" s="4">
        <v>200</v>
      </c>
      <c r="E7" s="4">
        <v>45</v>
      </c>
      <c r="F7" s="4" t="s">
        <v>9</v>
      </c>
      <c r="I7" t="s">
        <v>25</v>
      </c>
      <c r="J7" t="s">
        <v>26</v>
      </c>
      <c r="K7" t="s">
        <v>27</v>
      </c>
      <c r="L7">
        <v>200</v>
      </c>
      <c r="M7">
        <v>45</v>
      </c>
      <c r="N7" t="s">
        <v>9</v>
      </c>
    </row>
    <row r="8" spans="1:14" x14ac:dyDescent="0.25">
      <c r="A8" s="3" t="s">
        <v>28</v>
      </c>
      <c r="B8" s="3" t="s">
        <v>29</v>
      </c>
      <c r="C8" s="3" t="s">
        <v>30</v>
      </c>
      <c r="D8" s="3">
        <v>30</v>
      </c>
      <c r="E8" s="3">
        <v>5</v>
      </c>
      <c r="F8" s="3" t="s">
        <v>13</v>
      </c>
      <c r="I8" t="s">
        <v>28</v>
      </c>
      <c r="J8" t="s">
        <v>29</v>
      </c>
      <c r="K8" t="s">
        <v>30</v>
      </c>
      <c r="L8">
        <v>30</v>
      </c>
      <c r="M8">
        <v>5</v>
      </c>
      <c r="N8" t="s">
        <v>13</v>
      </c>
    </row>
    <row r="9" spans="1:14" x14ac:dyDescent="0.25">
      <c r="A9" s="4" t="s">
        <v>31</v>
      </c>
      <c r="B9" s="4" t="s">
        <v>32</v>
      </c>
      <c r="C9" s="4" t="s">
        <v>33</v>
      </c>
      <c r="D9" s="4">
        <v>90</v>
      </c>
      <c r="E9" s="4">
        <v>35</v>
      </c>
      <c r="F9" s="4" t="s">
        <v>17</v>
      </c>
      <c r="I9" t="s">
        <v>31</v>
      </c>
      <c r="J9" t="s">
        <v>32</v>
      </c>
      <c r="K9" t="s">
        <v>33</v>
      </c>
      <c r="L9">
        <v>90</v>
      </c>
      <c r="M9">
        <v>35</v>
      </c>
      <c r="N9" t="s">
        <v>17</v>
      </c>
    </row>
    <row r="10" spans="1:14" x14ac:dyDescent="0.25">
      <c r="A10" s="3" t="s">
        <v>34</v>
      </c>
      <c r="B10" s="3" t="s">
        <v>35</v>
      </c>
      <c r="C10" s="3" t="s">
        <v>36</v>
      </c>
      <c r="D10" s="3">
        <v>500</v>
      </c>
      <c r="E10" s="3">
        <v>50</v>
      </c>
      <c r="F10" s="3" t="s">
        <v>9</v>
      </c>
      <c r="I10" t="s">
        <v>34</v>
      </c>
      <c r="J10" t="s">
        <v>35</v>
      </c>
      <c r="K10" t="s">
        <v>36</v>
      </c>
      <c r="L10">
        <v>500</v>
      </c>
      <c r="M10">
        <v>50</v>
      </c>
      <c r="N10" t="s">
        <v>9</v>
      </c>
    </row>
    <row r="11" spans="1:14" x14ac:dyDescent="0.25">
      <c r="A11" s="4" t="s">
        <v>37</v>
      </c>
      <c r="B11" s="8" t="s">
        <v>38</v>
      </c>
      <c r="C11" s="4" t="s">
        <v>39</v>
      </c>
      <c r="D11" s="4">
        <v>130</v>
      </c>
      <c r="E11" s="4">
        <v>10</v>
      </c>
      <c r="F11" s="4" t="s">
        <v>24</v>
      </c>
      <c r="I11" t="s">
        <v>37</v>
      </c>
      <c r="J11" t="s">
        <v>38</v>
      </c>
      <c r="K11" t="s">
        <v>39</v>
      </c>
      <c r="L11">
        <v>130</v>
      </c>
      <c r="M11">
        <v>10</v>
      </c>
      <c r="N11" t="s">
        <v>24</v>
      </c>
    </row>
    <row r="12" spans="1:14" x14ac:dyDescent="0.25">
      <c r="A12" s="11" t="s">
        <v>40</v>
      </c>
      <c r="B12" s="11" t="s">
        <v>7</v>
      </c>
      <c r="C12" s="11" t="s">
        <v>41</v>
      </c>
      <c r="D12" s="11">
        <v>950</v>
      </c>
      <c r="E12" s="11">
        <v>25</v>
      </c>
      <c r="F12" s="11" t="s">
        <v>9</v>
      </c>
      <c r="I12" t="s">
        <v>40</v>
      </c>
      <c r="J12" t="s">
        <v>7</v>
      </c>
      <c r="K12" t="s">
        <v>41</v>
      </c>
      <c r="L12">
        <v>950</v>
      </c>
      <c r="M12">
        <v>25</v>
      </c>
      <c r="N12" t="s">
        <v>9</v>
      </c>
    </row>
    <row r="13" spans="1:14" x14ac:dyDescent="0.25">
      <c r="A13" s="4" t="s">
        <v>42</v>
      </c>
      <c r="B13" s="4" t="s">
        <v>11</v>
      </c>
      <c r="C13" s="4" t="s">
        <v>30</v>
      </c>
      <c r="D13" s="4">
        <v>90</v>
      </c>
      <c r="E13" s="4">
        <v>40</v>
      </c>
      <c r="F13" s="4" t="s">
        <v>13</v>
      </c>
      <c r="I13" t="s">
        <v>42</v>
      </c>
      <c r="J13" t="s">
        <v>11</v>
      </c>
      <c r="K13" t="s">
        <v>30</v>
      </c>
      <c r="L13">
        <v>90</v>
      </c>
      <c r="M13">
        <v>40</v>
      </c>
      <c r="N13" t="s">
        <v>13</v>
      </c>
    </row>
    <row r="14" spans="1:14" x14ac:dyDescent="0.25">
      <c r="A14" s="3" t="s">
        <v>43</v>
      </c>
      <c r="B14" s="3" t="s">
        <v>15</v>
      </c>
      <c r="C14" s="3" t="s">
        <v>44</v>
      </c>
      <c r="D14" s="3">
        <v>120</v>
      </c>
      <c r="E14" s="3">
        <v>35</v>
      </c>
      <c r="F14" s="3" t="s">
        <v>17</v>
      </c>
      <c r="I14" t="s">
        <v>43</v>
      </c>
      <c r="J14" t="s">
        <v>15</v>
      </c>
      <c r="K14" t="s">
        <v>44</v>
      </c>
      <c r="L14">
        <v>120</v>
      </c>
      <c r="M14">
        <v>35</v>
      </c>
      <c r="N14" t="s">
        <v>17</v>
      </c>
    </row>
    <row r="15" spans="1:14" x14ac:dyDescent="0.25">
      <c r="A15" s="4" t="s">
        <v>45</v>
      </c>
      <c r="B15" s="4" t="s">
        <v>46</v>
      </c>
      <c r="C15" s="4" t="s">
        <v>47</v>
      </c>
      <c r="D15" s="4">
        <v>150</v>
      </c>
      <c r="E15" s="4">
        <v>15</v>
      </c>
      <c r="F15" s="4" t="s">
        <v>9</v>
      </c>
      <c r="I15" t="s">
        <v>45</v>
      </c>
      <c r="J15" t="s">
        <v>46</v>
      </c>
      <c r="K15" t="s">
        <v>47</v>
      </c>
      <c r="L15">
        <v>150</v>
      </c>
      <c r="M15">
        <v>15</v>
      </c>
      <c r="N15" t="s">
        <v>9</v>
      </c>
    </row>
    <row r="16" spans="1:14" x14ac:dyDescent="0.25">
      <c r="A16" s="3" t="s">
        <v>48</v>
      </c>
      <c r="B16" s="3" t="s">
        <v>26</v>
      </c>
      <c r="C16" s="3" t="s">
        <v>49</v>
      </c>
      <c r="D16" s="3">
        <v>250</v>
      </c>
      <c r="E16" s="3">
        <v>20</v>
      </c>
      <c r="F16" s="3" t="s">
        <v>9</v>
      </c>
      <c r="I16" t="s">
        <v>48</v>
      </c>
      <c r="J16" t="s">
        <v>26</v>
      </c>
      <c r="K16" t="s">
        <v>49</v>
      </c>
      <c r="L16">
        <v>250</v>
      </c>
      <c r="M16">
        <v>20</v>
      </c>
      <c r="N16" t="s">
        <v>9</v>
      </c>
    </row>
    <row r="17" spans="1:14" x14ac:dyDescent="0.25">
      <c r="A17" s="11" t="s">
        <v>50</v>
      </c>
      <c r="B17" s="11" t="s">
        <v>51</v>
      </c>
      <c r="C17" s="11" t="s">
        <v>52</v>
      </c>
      <c r="D17" s="11">
        <v>50</v>
      </c>
      <c r="E17" s="11">
        <v>35</v>
      </c>
      <c r="F17" s="12" t="s">
        <v>53</v>
      </c>
      <c r="I17" t="s">
        <v>50</v>
      </c>
      <c r="J17" t="s">
        <v>51</v>
      </c>
      <c r="K17" t="s">
        <v>52</v>
      </c>
      <c r="L17">
        <v>50</v>
      </c>
      <c r="M17">
        <v>35</v>
      </c>
      <c r="N17" t="s">
        <v>53</v>
      </c>
    </row>
    <row r="18" spans="1:14" x14ac:dyDescent="0.25">
      <c r="A18" s="3" t="s">
        <v>54</v>
      </c>
      <c r="B18" s="3" t="s">
        <v>46</v>
      </c>
      <c r="C18" s="3" t="s">
        <v>55</v>
      </c>
      <c r="D18" s="3">
        <v>160</v>
      </c>
      <c r="E18" s="3">
        <v>15</v>
      </c>
      <c r="F18" s="3" t="s">
        <v>9</v>
      </c>
      <c r="I18" t="s">
        <v>54</v>
      </c>
      <c r="J18" t="s">
        <v>46</v>
      </c>
      <c r="K18" t="s">
        <v>55</v>
      </c>
      <c r="L18">
        <v>160</v>
      </c>
      <c r="M18">
        <v>15</v>
      </c>
      <c r="N18" t="s">
        <v>9</v>
      </c>
    </row>
    <row r="19" spans="1:14" x14ac:dyDescent="0.25">
      <c r="A19" s="4" t="s">
        <v>56</v>
      </c>
      <c r="B19" s="4" t="s">
        <v>7</v>
      </c>
      <c r="C19" s="4" t="s">
        <v>57</v>
      </c>
      <c r="D19" s="4">
        <v>980</v>
      </c>
      <c r="E19" s="4">
        <v>10</v>
      </c>
      <c r="F19" s="4" t="s">
        <v>9</v>
      </c>
      <c r="I19" t="s">
        <v>56</v>
      </c>
      <c r="J19" t="s">
        <v>7</v>
      </c>
      <c r="K19" t="s">
        <v>57</v>
      </c>
      <c r="L19">
        <v>980</v>
      </c>
      <c r="M19">
        <v>10</v>
      </c>
      <c r="N19" t="s">
        <v>9</v>
      </c>
    </row>
    <row r="20" spans="1:14" x14ac:dyDescent="0.25">
      <c r="A20" s="3" t="s">
        <v>58</v>
      </c>
      <c r="B20" s="3" t="s">
        <v>59</v>
      </c>
      <c r="C20" s="3" t="s">
        <v>60</v>
      </c>
      <c r="D20" s="3">
        <v>150</v>
      </c>
      <c r="E20" s="3">
        <v>15</v>
      </c>
      <c r="F20" s="3" t="s">
        <v>13</v>
      </c>
      <c r="I20" t="s">
        <v>58</v>
      </c>
      <c r="J20" t="s">
        <v>59</v>
      </c>
      <c r="K20" t="s">
        <v>60</v>
      </c>
      <c r="L20">
        <v>150</v>
      </c>
      <c r="M20">
        <v>15</v>
      </c>
      <c r="N20" t="s">
        <v>13</v>
      </c>
    </row>
    <row r="21" spans="1:14" x14ac:dyDescent="0.25">
      <c r="A21" s="4" t="s">
        <v>61</v>
      </c>
      <c r="B21" s="4" t="s">
        <v>62</v>
      </c>
      <c r="C21" s="4" t="s">
        <v>63</v>
      </c>
      <c r="D21" s="4">
        <v>200</v>
      </c>
      <c r="E21" s="4">
        <v>10</v>
      </c>
      <c r="F21" s="4" t="s">
        <v>24</v>
      </c>
      <c r="I21" t="s">
        <v>61</v>
      </c>
      <c r="J21" t="s">
        <v>62</v>
      </c>
      <c r="K21" t="s">
        <v>63</v>
      </c>
      <c r="L21">
        <v>200</v>
      </c>
      <c r="M21">
        <v>10</v>
      </c>
      <c r="N21" t="s">
        <v>24</v>
      </c>
    </row>
    <row r="22" spans="1:14" x14ac:dyDescent="0.25">
      <c r="A22" s="3" t="s">
        <v>64</v>
      </c>
      <c r="B22" s="3" t="s">
        <v>65</v>
      </c>
      <c r="C22" s="3" t="s">
        <v>66</v>
      </c>
      <c r="D22" s="3">
        <v>700</v>
      </c>
      <c r="E22" s="3">
        <v>50</v>
      </c>
      <c r="F22" s="3" t="s">
        <v>9</v>
      </c>
      <c r="I22" t="s">
        <v>64</v>
      </c>
      <c r="J22" t="s">
        <v>65</v>
      </c>
      <c r="K22" t="s">
        <v>66</v>
      </c>
      <c r="L22">
        <v>700</v>
      </c>
      <c r="M22">
        <v>50</v>
      </c>
      <c r="N22" t="s">
        <v>9</v>
      </c>
    </row>
    <row r="23" spans="1:14" x14ac:dyDescent="0.25">
      <c r="A23" s="4" t="s">
        <v>67</v>
      </c>
      <c r="B23" s="4" t="s">
        <v>68</v>
      </c>
      <c r="C23" s="4" t="s">
        <v>69</v>
      </c>
      <c r="D23" s="4">
        <v>80</v>
      </c>
      <c r="E23" s="4">
        <v>20</v>
      </c>
      <c r="F23" s="4" t="s">
        <v>17</v>
      </c>
      <c r="I23" t="s">
        <v>67</v>
      </c>
      <c r="J23" t="s">
        <v>68</v>
      </c>
      <c r="K23" t="s">
        <v>69</v>
      </c>
      <c r="L23">
        <v>80</v>
      </c>
      <c r="M23">
        <v>20</v>
      </c>
      <c r="N23" t="s">
        <v>17</v>
      </c>
    </row>
    <row r="24" spans="1:14" x14ac:dyDescent="0.25">
      <c r="A24" s="3" t="s">
        <v>70</v>
      </c>
      <c r="B24" s="3" t="s">
        <v>71</v>
      </c>
      <c r="C24" s="3" t="s">
        <v>72</v>
      </c>
      <c r="D24" s="3">
        <v>150</v>
      </c>
      <c r="E24" s="3">
        <v>30</v>
      </c>
      <c r="F24" s="3" t="s">
        <v>9</v>
      </c>
      <c r="I24" t="s">
        <v>70</v>
      </c>
      <c r="J24" t="s">
        <v>71</v>
      </c>
      <c r="K24" t="s">
        <v>72</v>
      </c>
      <c r="L24">
        <v>150</v>
      </c>
      <c r="M24">
        <v>30</v>
      </c>
      <c r="N24" t="s">
        <v>9</v>
      </c>
    </row>
    <row r="25" spans="1:14" x14ac:dyDescent="0.25">
      <c r="A25" s="11" t="s">
        <v>50</v>
      </c>
      <c r="B25" s="11" t="s">
        <v>51</v>
      </c>
      <c r="C25" s="11" t="s">
        <v>52</v>
      </c>
      <c r="D25" s="11">
        <v>50</v>
      </c>
      <c r="E25" s="11">
        <v>35</v>
      </c>
      <c r="F25" s="12" t="s">
        <v>53</v>
      </c>
      <c r="I25" t="s">
        <v>73</v>
      </c>
      <c r="J25" t="s">
        <v>19</v>
      </c>
      <c r="K25" t="s">
        <v>74</v>
      </c>
      <c r="L25">
        <v>800</v>
      </c>
      <c r="M25">
        <v>45</v>
      </c>
      <c r="N25" t="s">
        <v>9</v>
      </c>
    </row>
    <row r="26" spans="1:14" x14ac:dyDescent="0.25">
      <c r="A26" s="3" t="s">
        <v>73</v>
      </c>
      <c r="B26" s="3" t="s">
        <v>19</v>
      </c>
      <c r="C26" s="3" t="s">
        <v>74</v>
      </c>
      <c r="D26" s="3">
        <v>800</v>
      </c>
      <c r="E26" s="3">
        <v>45</v>
      </c>
      <c r="F26" s="3" t="s">
        <v>9</v>
      </c>
      <c r="I26" t="s">
        <v>75</v>
      </c>
      <c r="J26" t="s">
        <v>59</v>
      </c>
      <c r="K26" t="s">
        <v>76</v>
      </c>
      <c r="L26">
        <v>130</v>
      </c>
      <c r="M26">
        <v>25</v>
      </c>
      <c r="N26" t="s">
        <v>13</v>
      </c>
    </row>
    <row r="27" spans="1:14" x14ac:dyDescent="0.25">
      <c r="A27" s="4" t="s">
        <v>75</v>
      </c>
      <c r="B27" s="4" t="s">
        <v>59</v>
      </c>
      <c r="C27" s="4" t="s">
        <v>76</v>
      </c>
      <c r="D27" s="4">
        <v>130</v>
      </c>
      <c r="E27" s="4">
        <v>25</v>
      </c>
      <c r="F27" s="4" t="s">
        <v>13</v>
      </c>
      <c r="I27" t="s">
        <v>77</v>
      </c>
      <c r="J27" t="s">
        <v>32</v>
      </c>
      <c r="K27" t="s">
        <v>78</v>
      </c>
      <c r="L27">
        <v>400</v>
      </c>
      <c r="M27">
        <v>40</v>
      </c>
      <c r="N27" t="s">
        <v>17</v>
      </c>
    </row>
    <row r="28" spans="1:14" x14ac:dyDescent="0.25">
      <c r="A28" s="3" t="s">
        <v>77</v>
      </c>
      <c r="B28" s="3" t="s">
        <v>32</v>
      </c>
      <c r="C28" s="3" t="s">
        <v>78</v>
      </c>
      <c r="D28" s="3">
        <v>400</v>
      </c>
      <c r="E28" s="3">
        <v>40</v>
      </c>
      <c r="F28" s="3" t="s">
        <v>17</v>
      </c>
      <c r="I28" t="s">
        <v>48</v>
      </c>
      <c r="J28" t="s">
        <v>26</v>
      </c>
      <c r="K28" t="s">
        <v>49</v>
      </c>
      <c r="L28">
        <v>230</v>
      </c>
      <c r="M28">
        <v>20</v>
      </c>
      <c r="N28" t="s">
        <v>9</v>
      </c>
    </row>
    <row r="29" spans="1:14" x14ac:dyDescent="0.25">
      <c r="A29" s="4" t="s">
        <v>48</v>
      </c>
      <c r="B29" s="4" t="s">
        <v>26</v>
      </c>
      <c r="C29" s="4" t="s">
        <v>49</v>
      </c>
      <c r="D29" s="4">
        <v>230</v>
      </c>
      <c r="E29" s="4">
        <v>20</v>
      </c>
      <c r="F29" s="4" t="s">
        <v>9</v>
      </c>
      <c r="I29" t="s">
        <v>79</v>
      </c>
      <c r="J29" t="s">
        <v>80</v>
      </c>
      <c r="K29" t="s">
        <v>81</v>
      </c>
      <c r="L29">
        <v>60</v>
      </c>
      <c r="M29">
        <v>30</v>
      </c>
      <c r="N29" t="s">
        <v>13</v>
      </c>
    </row>
    <row r="30" spans="1:14" x14ac:dyDescent="0.25">
      <c r="A30" s="3" t="s">
        <v>79</v>
      </c>
      <c r="B30" s="3" t="s">
        <v>80</v>
      </c>
      <c r="C30" s="3" t="s">
        <v>81</v>
      </c>
      <c r="D30" s="3">
        <v>60</v>
      </c>
      <c r="E30" s="3">
        <v>30</v>
      </c>
      <c r="F30" s="3" t="s">
        <v>13</v>
      </c>
      <c r="I30" t="s">
        <v>82</v>
      </c>
      <c r="J30" t="s">
        <v>83</v>
      </c>
      <c r="K30" t="s">
        <v>84</v>
      </c>
      <c r="L30">
        <v>40</v>
      </c>
      <c r="M30">
        <v>10</v>
      </c>
      <c r="N30" t="s">
        <v>17</v>
      </c>
    </row>
    <row r="31" spans="1:14" x14ac:dyDescent="0.25">
      <c r="A31" s="4" t="s">
        <v>82</v>
      </c>
      <c r="B31" s="4" t="s">
        <v>83</v>
      </c>
      <c r="C31" s="4" t="s">
        <v>84</v>
      </c>
      <c r="D31" s="4">
        <v>40</v>
      </c>
      <c r="E31" s="4">
        <v>10</v>
      </c>
      <c r="F31" s="4" t="s">
        <v>17</v>
      </c>
      <c r="I31" t="s">
        <v>85</v>
      </c>
      <c r="J31" t="s">
        <v>71</v>
      </c>
      <c r="K31" t="s">
        <v>86</v>
      </c>
      <c r="L31">
        <v>130</v>
      </c>
      <c r="M31">
        <v>5</v>
      </c>
      <c r="N31" t="s">
        <v>9</v>
      </c>
    </row>
    <row r="32" spans="1:14" x14ac:dyDescent="0.25">
      <c r="A32" s="3" t="s">
        <v>85</v>
      </c>
      <c r="B32" s="3" t="s">
        <v>71</v>
      </c>
      <c r="C32" s="3" t="s">
        <v>86</v>
      </c>
      <c r="D32" s="3">
        <v>130</v>
      </c>
      <c r="E32" s="3">
        <v>5</v>
      </c>
      <c r="F32" s="3" t="s">
        <v>9</v>
      </c>
      <c r="I32" t="s">
        <v>87</v>
      </c>
      <c r="J32" t="s">
        <v>88</v>
      </c>
      <c r="K32" t="s">
        <v>89</v>
      </c>
      <c r="L32">
        <v>50</v>
      </c>
      <c r="M32">
        <v>50</v>
      </c>
      <c r="N32" t="s">
        <v>13</v>
      </c>
    </row>
    <row r="33" spans="1:14" x14ac:dyDescent="0.25">
      <c r="A33" s="4" t="s">
        <v>87</v>
      </c>
      <c r="B33" s="4" t="s">
        <v>88</v>
      </c>
      <c r="C33" s="4" t="s">
        <v>89</v>
      </c>
      <c r="D33" s="4">
        <v>50</v>
      </c>
      <c r="E33" s="4">
        <v>50</v>
      </c>
      <c r="F33" s="4" t="s">
        <v>13</v>
      </c>
      <c r="I33" t="s">
        <v>90</v>
      </c>
      <c r="J33" t="s">
        <v>91</v>
      </c>
      <c r="K33" t="s">
        <v>92</v>
      </c>
      <c r="L33">
        <v>100</v>
      </c>
      <c r="M33">
        <v>20</v>
      </c>
      <c r="N33" t="s">
        <v>53</v>
      </c>
    </row>
    <row r="34" spans="1:14" x14ac:dyDescent="0.25">
      <c r="A34" s="11" t="s">
        <v>40</v>
      </c>
      <c r="B34" s="11" t="s">
        <v>7</v>
      </c>
      <c r="C34" s="11" t="s">
        <v>41</v>
      </c>
      <c r="D34" s="11">
        <v>950</v>
      </c>
      <c r="E34" s="11">
        <v>25</v>
      </c>
      <c r="F34" s="11" t="s">
        <v>9</v>
      </c>
    </row>
    <row r="35" spans="1:14" x14ac:dyDescent="0.25">
      <c r="A35" s="4" t="s">
        <v>90</v>
      </c>
      <c r="B35" s="4" t="s">
        <v>91</v>
      </c>
      <c r="C35" s="4" t="s">
        <v>92</v>
      </c>
      <c r="D35" s="4">
        <v>100</v>
      </c>
      <c r="E35" s="4">
        <v>20</v>
      </c>
      <c r="F35" s="8" t="s">
        <v>53</v>
      </c>
    </row>
    <row r="38" spans="1:14" x14ac:dyDescent="0.25">
      <c r="F38" s="6" t="s">
        <v>109</v>
      </c>
    </row>
    <row r="39" spans="1:14" x14ac:dyDescent="0.25">
      <c r="F39" s="6" t="s">
        <v>162</v>
      </c>
    </row>
    <row r="40" spans="1:14" x14ac:dyDescent="0.25">
      <c r="F40" s="6" t="s">
        <v>187</v>
      </c>
    </row>
    <row r="41" spans="1:14" x14ac:dyDescent="0.25">
      <c r="F41" s="6" t="s">
        <v>188</v>
      </c>
    </row>
  </sheetData>
  <autoFilter ref="A1:F35" xr:uid="{12C1D054-E4F7-4D5B-9964-BB4DA2824A67}"/>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95DE-B947-46B6-9DB7-9F4938298D48}">
  <dimension ref="A1:Q40"/>
  <sheetViews>
    <sheetView topLeftCell="F22" workbookViewId="0">
      <selection activeCell="M17" sqref="M17"/>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1" bestFit="1" customWidth="1"/>
    <col min="8" max="8" width="10.5546875" bestFit="1" customWidth="1"/>
    <col min="9" max="9" width="18" bestFit="1" customWidth="1"/>
    <col min="11" max="11" width="12.21875" bestFit="1" customWidth="1"/>
    <col min="12" max="12" width="14.77734375" customWidth="1"/>
    <col min="13" max="13" width="16.109375" customWidth="1"/>
    <col min="14" max="14" width="20.44140625" customWidth="1"/>
    <col min="17" max="17" width="24.21875" customWidth="1"/>
  </cols>
  <sheetData>
    <row r="1" spans="1:17" x14ac:dyDescent="0.25">
      <c r="A1" s="1" t="s">
        <v>0</v>
      </c>
      <c r="B1" s="1" t="s">
        <v>1</v>
      </c>
      <c r="C1" s="1" t="s">
        <v>2</v>
      </c>
      <c r="D1" s="1" t="s">
        <v>3</v>
      </c>
      <c r="E1" s="1" t="s">
        <v>4</v>
      </c>
      <c r="F1" s="1" t="s">
        <v>5</v>
      </c>
      <c r="H1" s="19" t="s">
        <v>0</v>
      </c>
      <c r="I1" s="20" t="s">
        <v>175</v>
      </c>
      <c r="J1" s="20" t="s">
        <v>175</v>
      </c>
      <c r="K1" s="20" t="s">
        <v>189</v>
      </c>
      <c r="L1" s="20" t="s">
        <v>189</v>
      </c>
      <c r="N1" s="6" t="s">
        <v>114</v>
      </c>
      <c r="O1" s="6" t="s">
        <v>115</v>
      </c>
      <c r="P1" s="6"/>
      <c r="Q1" s="6" t="s">
        <v>158</v>
      </c>
    </row>
    <row r="2" spans="1:17" x14ac:dyDescent="0.25">
      <c r="A2" s="3" t="s">
        <v>6</v>
      </c>
      <c r="B2" s="3" t="s">
        <v>7</v>
      </c>
      <c r="C2" s="3" t="s">
        <v>8</v>
      </c>
      <c r="D2" s="3">
        <v>1000</v>
      </c>
      <c r="E2" s="3">
        <v>30</v>
      </c>
      <c r="F2" s="3" t="s">
        <v>9</v>
      </c>
      <c r="H2" s="21">
        <v>28</v>
      </c>
      <c r="I2" s="22" t="s">
        <v>163</v>
      </c>
      <c r="J2" s="22" t="s">
        <v>116</v>
      </c>
      <c r="K2" s="23">
        <v>46050</v>
      </c>
      <c r="L2" s="24" t="s">
        <v>116</v>
      </c>
      <c r="N2" s="13" t="str">
        <f>CONCATENATE(H2,"-",I2)</f>
        <v>28-JAN</v>
      </c>
      <c r="O2" s="14" t="s">
        <v>116</v>
      </c>
      <c r="Q2" t="str">
        <f t="shared" ref="Q2:Q35" si="0">CONCATENATE(C2," ",B2)</f>
        <v>Dell Laptop</v>
      </c>
    </row>
    <row r="3" spans="1:17" x14ac:dyDescent="0.25">
      <c r="A3" s="4" t="s">
        <v>10</v>
      </c>
      <c r="B3" s="4" t="s">
        <v>11</v>
      </c>
      <c r="C3" s="4" t="s">
        <v>12</v>
      </c>
      <c r="D3" s="4">
        <v>80</v>
      </c>
      <c r="E3" s="4">
        <v>15</v>
      </c>
      <c r="F3" s="4" t="s">
        <v>13</v>
      </c>
      <c r="H3" s="21">
        <v>15</v>
      </c>
      <c r="I3" s="22" t="s">
        <v>164</v>
      </c>
      <c r="J3" s="22" t="s">
        <v>116</v>
      </c>
      <c r="K3" s="23">
        <v>46068</v>
      </c>
      <c r="L3" s="24" t="s">
        <v>116</v>
      </c>
      <c r="N3" s="13" t="str">
        <f t="shared" ref="N3:N35" si="1">CONCATENATE(H3,"-",I3)</f>
        <v>15-FEB</v>
      </c>
      <c r="O3" s="14" t="s">
        <v>116</v>
      </c>
      <c r="Q3" t="str">
        <f t="shared" si="0"/>
        <v>Nike Sneakers</v>
      </c>
    </row>
    <row r="4" spans="1:17" x14ac:dyDescent="0.25">
      <c r="A4" s="3" t="s">
        <v>14</v>
      </c>
      <c r="B4" s="3" t="s">
        <v>15</v>
      </c>
      <c r="C4" s="3" t="s">
        <v>16</v>
      </c>
      <c r="D4" s="3">
        <v>130</v>
      </c>
      <c r="E4" s="3">
        <v>40</v>
      </c>
      <c r="F4" s="3" t="s">
        <v>17</v>
      </c>
      <c r="H4" s="21">
        <v>3</v>
      </c>
      <c r="I4" s="22" t="s">
        <v>165</v>
      </c>
      <c r="J4" s="22" t="s">
        <v>116</v>
      </c>
      <c r="K4" s="23">
        <v>46084</v>
      </c>
      <c r="L4" s="24" t="s">
        <v>116</v>
      </c>
      <c r="N4" s="13" t="str">
        <f t="shared" si="1"/>
        <v>3-MAR</v>
      </c>
      <c r="O4" s="14" t="s">
        <v>116</v>
      </c>
      <c r="Q4" t="str">
        <f t="shared" si="0"/>
        <v>Keurig Coffee Maker</v>
      </c>
    </row>
    <row r="5" spans="1:17" x14ac:dyDescent="0.25">
      <c r="A5" s="4" t="s">
        <v>18</v>
      </c>
      <c r="B5" s="4" t="s">
        <v>19</v>
      </c>
      <c r="C5" s="4" t="s">
        <v>20</v>
      </c>
      <c r="D5" s="4">
        <v>900</v>
      </c>
      <c r="E5" s="4">
        <v>25</v>
      </c>
      <c r="F5" s="4" t="s">
        <v>9</v>
      </c>
      <c r="H5" s="21">
        <v>11</v>
      </c>
      <c r="I5" s="22" t="s">
        <v>166</v>
      </c>
      <c r="J5" s="22" t="s">
        <v>116</v>
      </c>
      <c r="K5" s="23">
        <v>46123</v>
      </c>
      <c r="L5" s="24" t="s">
        <v>116</v>
      </c>
      <c r="N5" s="13" t="str">
        <f t="shared" si="1"/>
        <v>11-APR</v>
      </c>
      <c r="O5" s="14" t="s">
        <v>116</v>
      </c>
      <c r="Q5" t="str">
        <f t="shared" si="0"/>
        <v>Samsung Smartphone</v>
      </c>
    </row>
    <row r="6" spans="1:17" x14ac:dyDescent="0.25">
      <c r="A6" s="3" t="s">
        <v>21</v>
      </c>
      <c r="B6" s="10" t="s">
        <v>22</v>
      </c>
      <c r="C6" s="3" t="s">
        <v>23</v>
      </c>
      <c r="D6" s="3">
        <v>70</v>
      </c>
      <c r="E6" s="3">
        <v>20</v>
      </c>
      <c r="F6" s="3" t="s">
        <v>24</v>
      </c>
      <c r="H6" s="21">
        <v>22</v>
      </c>
      <c r="I6" s="22" t="s">
        <v>167</v>
      </c>
      <c r="J6" s="22" t="s">
        <v>116</v>
      </c>
      <c r="K6" s="23">
        <v>46164</v>
      </c>
      <c r="L6" s="24" t="s">
        <v>116</v>
      </c>
      <c r="N6" s="13" t="str">
        <f t="shared" si="1"/>
        <v>22-MAY</v>
      </c>
      <c r="O6" s="14" t="s">
        <v>116</v>
      </c>
      <c r="Q6" t="str">
        <f t="shared" si="0"/>
        <v>North Face Backpack</v>
      </c>
    </row>
    <row r="7" spans="1:17" x14ac:dyDescent="0.25">
      <c r="A7" s="4" t="s">
        <v>25</v>
      </c>
      <c r="B7" s="4" t="s">
        <v>26</v>
      </c>
      <c r="C7" s="4" t="s">
        <v>27</v>
      </c>
      <c r="D7" s="4">
        <v>200</v>
      </c>
      <c r="E7" s="4">
        <v>45</v>
      </c>
      <c r="F7" s="4" t="s">
        <v>9</v>
      </c>
      <c r="H7" s="21">
        <v>7</v>
      </c>
      <c r="I7" s="22" t="s">
        <v>168</v>
      </c>
      <c r="J7" s="22" t="s">
        <v>117</v>
      </c>
      <c r="K7" s="23">
        <v>46180</v>
      </c>
      <c r="L7" s="24" t="s">
        <v>117</v>
      </c>
      <c r="N7" s="13" t="str">
        <f t="shared" si="1"/>
        <v>7-JUN</v>
      </c>
      <c r="O7" s="14" t="s">
        <v>117</v>
      </c>
      <c r="Q7" t="str">
        <f t="shared" si="0"/>
        <v>Sony Headphones</v>
      </c>
    </row>
    <row r="8" spans="1:17" x14ac:dyDescent="0.25">
      <c r="A8" s="3" t="s">
        <v>28</v>
      </c>
      <c r="B8" s="3" t="s">
        <v>29</v>
      </c>
      <c r="C8" s="3" t="s">
        <v>30</v>
      </c>
      <c r="D8" s="3">
        <v>30</v>
      </c>
      <c r="E8" s="3">
        <v>5</v>
      </c>
      <c r="F8" s="3" t="s">
        <v>13</v>
      </c>
      <c r="H8" s="21">
        <v>19</v>
      </c>
      <c r="I8" s="22" t="s">
        <v>169</v>
      </c>
      <c r="J8" s="22" t="s">
        <v>117</v>
      </c>
      <c r="K8" s="23">
        <v>46222</v>
      </c>
      <c r="L8" s="24" t="s">
        <v>117</v>
      </c>
      <c r="N8" s="13" t="str">
        <f t="shared" si="1"/>
        <v>19-JUL</v>
      </c>
      <c r="O8" s="14" t="s">
        <v>117</v>
      </c>
      <c r="Q8" t="str">
        <f t="shared" si="0"/>
        <v>Adidas T-shirt</v>
      </c>
    </row>
    <row r="9" spans="1:17" x14ac:dyDescent="0.25">
      <c r="A9" s="4" t="s">
        <v>31</v>
      </c>
      <c r="B9" s="4" t="s">
        <v>32</v>
      </c>
      <c r="C9" s="4" t="s">
        <v>33</v>
      </c>
      <c r="D9" s="4">
        <v>90</v>
      </c>
      <c r="E9" s="4">
        <v>35</v>
      </c>
      <c r="F9" s="4" t="s">
        <v>17</v>
      </c>
      <c r="H9" s="21">
        <v>23</v>
      </c>
      <c r="I9" s="22" t="s">
        <v>170</v>
      </c>
      <c r="J9" s="22" t="s">
        <v>117</v>
      </c>
      <c r="K9" s="23">
        <v>46257</v>
      </c>
      <c r="L9" s="24" t="s">
        <v>117</v>
      </c>
      <c r="N9" s="13" t="str">
        <f t="shared" si="1"/>
        <v>23-AUG</v>
      </c>
      <c r="O9" s="14" t="s">
        <v>117</v>
      </c>
      <c r="Q9" t="str">
        <f t="shared" si="0"/>
        <v>Ninja Blender</v>
      </c>
    </row>
    <row r="10" spans="1:17" x14ac:dyDescent="0.25">
      <c r="A10" s="3" t="s">
        <v>34</v>
      </c>
      <c r="B10" s="3" t="s">
        <v>35</v>
      </c>
      <c r="C10" s="3" t="s">
        <v>36</v>
      </c>
      <c r="D10" s="3">
        <v>500</v>
      </c>
      <c r="E10" s="3">
        <v>50</v>
      </c>
      <c r="F10" s="3" t="s">
        <v>9</v>
      </c>
      <c r="H10" s="21">
        <v>5</v>
      </c>
      <c r="I10" s="22" t="s">
        <v>171</v>
      </c>
      <c r="J10" s="22" t="s">
        <v>117</v>
      </c>
      <c r="K10" s="23">
        <v>46270</v>
      </c>
      <c r="L10" s="24" t="s">
        <v>117</v>
      </c>
      <c r="N10" s="13" t="str">
        <f t="shared" si="1"/>
        <v>5-SEP</v>
      </c>
      <c r="O10" s="14" t="s">
        <v>117</v>
      </c>
      <c r="Q10" t="str">
        <f t="shared" si="0"/>
        <v>Apple Tablet</v>
      </c>
    </row>
    <row r="11" spans="1:17" x14ac:dyDescent="0.25">
      <c r="A11" s="4" t="s">
        <v>37</v>
      </c>
      <c r="B11" s="8" t="s">
        <v>38</v>
      </c>
      <c r="C11" s="4" t="s">
        <v>39</v>
      </c>
      <c r="D11" s="4">
        <v>130</v>
      </c>
      <c r="E11" s="4">
        <v>10</v>
      </c>
      <c r="F11" s="4" t="s">
        <v>24</v>
      </c>
      <c r="H11" s="21">
        <v>14</v>
      </c>
      <c r="I11" s="22" t="s">
        <v>172</v>
      </c>
      <c r="J11" s="22" t="s">
        <v>117</v>
      </c>
      <c r="K11" s="23">
        <v>46309</v>
      </c>
      <c r="L11" s="24" t="s">
        <v>117</v>
      </c>
      <c r="N11" s="13" t="str">
        <f t="shared" si="1"/>
        <v>14-OCT</v>
      </c>
      <c r="O11" s="14" t="s">
        <v>117</v>
      </c>
      <c r="Q11" t="str">
        <f t="shared" si="0"/>
        <v>Timberland Hiking Boots</v>
      </c>
    </row>
    <row r="12" spans="1:17" x14ac:dyDescent="0.25">
      <c r="A12" s="3" t="s">
        <v>40</v>
      </c>
      <c r="B12" s="3" t="s">
        <v>7</v>
      </c>
      <c r="C12" s="3" t="s">
        <v>41</v>
      </c>
      <c r="D12" s="3">
        <v>950</v>
      </c>
      <c r="E12" s="3">
        <v>25</v>
      </c>
      <c r="F12" s="3" t="s">
        <v>9</v>
      </c>
      <c r="H12" s="21">
        <v>17</v>
      </c>
      <c r="I12" s="22" t="s">
        <v>168</v>
      </c>
      <c r="J12" s="22" t="s">
        <v>118</v>
      </c>
      <c r="K12" s="23">
        <v>46190</v>
      </c>
      <c r="L12" s="24" t="s">
        <v>118</v>
      </c>
      <c r="N12" s="13" t="str">
        <f t="shared" si="1"/>
        <v>17-JUN</v>
      </c>
      <c r="O12" s="14" t="s">
        <v>118</v>
      </c>
      <c r="Q12" t="str">
        <f t="shared" si="0"/>
        <v>HP Laptop</v>
      </c>
    </row>
    <row r="13" spans="1:17" x14ac:dyDescent="0.25">
      <c r="A13" s="4" t="s">
        <v>42</v>
      </c>
      <c r="B13" s="4" t="s">
        <v>11</v>
      </c>
      <c r="C13" s="4" t="s">
        <v>30</v>
      </c>
      <c r="D13" s="4">
        <v>90</v>
      </c>
      <c r="E13" s="4">
        <v>40</v>
      </c>
      <c r="F13" s="4" t="s">
        <v>13</v>
      </c>
      <c r="H13" s="21">
        <v>25</v>
      </c>
      <c r="I13" s="22" t="s">
        <v>173</v>
      </c>
      <c r="J13" s="22" t="s">
        <v>119</v>
      </c>
      <c r="K13" s="23">
        <v>46351</v>
      </c>
      <c r="L13" s="24" t="s">
        <v>119</v>
      </c>
      <c r="N13" s="13" t="str">
        <f t="shared" si="1"/>
        <v>25-NOV</v>
      </c>
      <c r="O13" s="14" t="s">
        <v>119</v>
      </c>
      <c r="Q13" t="str">
        <f t="shared" si="0"/>
        <v>Adidas Sneakers</v>
      </c>
    </row>
    <row r="14" spans="1:17" x14ac:dyDescent="0.25">
      <c r="A14" s="3" t="s">
        <v>43</v>
      </c>
      <c r="B14" s="3" t="s">
        <v>15</v>
      </c>
      <c r="C14" s="3" t="s">
        <v>44</v>
      </c>
      <c r="D14" s="3">
        <v>120</v>
      </c>
      <c r="E14" s="3">
        <v>35</v>
      </c>
      <c r="F14" s="3" t="s">
        <v>17</v>
      </c>
      <c r="H14" s="21">
        <v>8</v>
      </c>
      <c r="I14" s="22" t="s">
        <v>174</v>
      </c>
      <c r="J14" s="22" t="s">
        <v>120</v>
      </c>
      <c r="K14" s="23">
        <v>46364</v>
      </c>
      <c r="L14" s="24" t="s">
        <v>120</v>
      </c>
      <c r="N14" s="13" t="str">
        <f t="shared" si="1"/>
        <v>8-DEC</v>
      </c>
      <c r="O14" s="14" t="s">
        <v>120</v>
      </c>
      <c r="Q14" t="str">
        <f t="shared" si="0"/>
        <v>Nespresso Coffee Maker</v>
      </c>
    </row>
    <row r="15" spans="1:17" x14ac:dyDescent="0.25">
      <c r="A15" s="4" t="s">
        <v>45</v>
      </c>
      <c r="B15" s="4" t="s">
        <v>46</v>
      </c>
      <c r="C15" s="4" t="s">
        <v>47</v>
      </c>
      <c r="D15" s="4">
        <v>150</v>
      </c>
      <c r="E15" s="4">
        <v>15</v>
      </c>
      <c r="F15" s="4" t="s">
        <v>9</v>
      </c>
      <c r="H15" s="21">
        <v>18</v>
      </c>
      <c r="I15" s="22" t="s">
        <v>164</v>
      </c>
      <c r="J15" s="22" t="s">
        <v>121</v>
      </c>
      <c r="K15" s="23">
        <v>46071</v>
      </c>
      <c r="L15" s="24" t="s">
        <v>121</v>
      </c>
      <c r="N15" s="13" t="str">
        <f t="shared" si="1"/>
        <v>18-FEB</v>
      </c>
      <c r="O15" s="14" t="s">
        <v>121</v>
      </c>
      <c r="Q15" t="str">
        <f t="shared" si="0"/>
        <v>Fitbit Smartwatch</v>
      </c>
    </row>
    <row r="16" spans="1:17" x14ac:dyDescent="0.25">
      <c r="A16" s="3" t="s">
        <v>48</v>
      </c>
      <c r="B16" s="3" t="s">
        <v>26</v>
      </c>
      <c r="C16" s="3" t="s">
        <v>49</v>
      </c>
      <c r="D16" s="3">
        <v>250</v>
      </c>
      <c r="E16" s="3">
        <v>20</v>
      </c>
      <c r="F16" s="3" t="s">
        <v>9</v>
      </c>
      <c r="H16" s="21">
        <v>16</v>
      </c>
      <c r="I16" s="22" t="s">
        <v>166</v>
      </c>
      <c r="J16" s="22" t="s">
        <v>122</v>
      </c>
      <c r="K16" s="23">
        <v>46128</v>
      </c>
      <c r="L16" s="24" t="s">
        <v>122</v>
      </c>
      <c r="N16" s="13" t="str">
        <f t="shared" si="1"/>
        <v>16-APR</v>
      </c>
      <c r="O16" s="14" t="s">
        <v>122</v>
      </c>
      <c r="Q16" t="str">
        <f t="shared" si="0"/>
        <v>Bose Headphones</v>
      </c>
    </row>
    <row r="17" spans="1:17" x14ac:dyDescent="0.25">
      <c r="A17" s="4" t="s">
        <v>50</v>
      </c>
      <c r="B17" s="4" t="s">
        <v>51</v>
      </c>
      <c r="C17" s="4" t="s">
        <v>52</v>
      </c>
      <c r="D17" s="4">
        <v>50</v>
      </c>
      <c r="E17" s="4">
        <v>35</v>
      </c>
      <c r="F17" s="8" t="s">
        <v>53</v>
      </c>
      <c r="H17" s="21">
        <v>21</v>
      </c>
      <c r="I17" s="22" t="s">
        <v>170</v>
      </c>
      <c r="J17" s="22" t="s">
        <v>121</v>
      </c>
      <c r="K17" s="23">
        <v>46255</v>
      </c>
      <c r="L17" s="24" t="s">
        <v>121</v>
      </c>
      <c r="N17" s="13" t="str">
        <f t="shared" si="1"/>
        <v>21-AUG</v>
      </c>
      <c r="O17" s="14" t="s">
        <v>121</v>
      </c>
      <c r="Q17" t="str">
        <f t="shared" si="0"/>
        <v>Samsonite Laptop Bag</v>
      </c>
    </row>
    <row r="18" spans="1:17" x14ac:dyDescent="0.25">
      <c r="A18" s="3" t="s">
        <v>54</v>
      </c>
      <c r="B18" s="3" t="s">
        <v>46</v>
      </c>
      <c r="C18" s="3" t="s">
        <v>55</v>
      </c>
      <c r="D18" s="3">
        <v>160</v>
      </c>
      <c r="E18" s="3">
        <v>15</v>
      </c>
      <c r="F18" s="3" t="s">
        <v>9</v>
      </c>
      <c r="H18" s="21">
        <v>20</v>
      </c>
      <c r="I18" s="22" t="s">
        <v>170</v>
      </c>
      <c r="J18" s="22" t="s">
        <v>123</v>
      </c>
      <c r="K18" s="23">
        <v>46254</v>
      </c>
      <c r="L18" s="24" t="s">
        <v>123</v>
      </c>
      <c r="N18" s="13" t="str">
        <f t="shared" si="1"/>
        <v>20-AUG</v>
      </c>
      <c r="O18" s="14" t="s">
        <v>123</v>
      </c>
      <c r="Q18" t="str">
        <f t="shared" si="0"/>
        <v>Huawei Smartwatch</v>
      </c>
    </row>
    <row r="19" spans="1:17" x14ac:dyDescent="0.25">
      <c r="A19" s="4" t="s">
        <v>56</v>
      </c>
      <c r="B19" s="4" t="s">
        <v>7</v>
      </c>
      <c r="C19" s="4" t="s">
        <v>57</v>
      </c>
      <c r="D19" s="4">
        <v>980</v>
      </c>
      <c r="E19" s="4">
        <v>10</v>
      </c>
      <c r="F19" s="4" t="s">
        <v>9</v>
      </c>
      <c r="H19" s="21">
        <v>27</v>
      </c>
      <c r="I19" s="22" t="s">
        <v>163</v>
      </c>
      <c r="J19" s="22" t="s">
        <v>124</v>
      </c>
      <c r="K19" s="23">
        <v>46049</v>
      </c>
      <c r="L19" s="24" t="s">
        <v>124</v>
      </c>
      <c r="N19" s="13" t="str">
        <f t="shared" si="1"/>
        <v>27-JAN</v>
      </c>
      <c r="O19" s="14" t="s">
        <v>124</v>
      </c>
      <c r="Q19" t="str">
        <f t="shared" si="0"/>
        <v>Asus Laptop</v>
      </c>
    </row>
    <row r="20" spans="1:17" x14ac:dyDescent="0.25">
      <c r="A20" s="3" t="s">
        <v>58</v>
      </c>
      <c r="B20" s="3" t="s">
        <v>59</v>
      </c>
      <c r="C20" s="3" t="s">
        <v>60</v>
      </c>
      <c r="D20" s="3">
        <v>150</v>
      </c>
      <c r="E20" s="3">
        <v>15</v>
      </c>
      <c r="F20" s="3" t="s">
        <v>13</v>
      </c>
      <c r="H20" s="21">
        <v>1</v>
      </c>
      <c r="I20" s="22" t="s">
        <v>165</v>
      </c>
      <c r="J20" s="22" t="s">
        <v>117</v>
      </c>
      <c r="K20" s="23">
        <v>46082</v>
      </c>
      <c r="L20" s="24" t="s">
        <v>117</v>
      </c>
      <c r="N20" s="13" t="str">
        <f t="shared" si="1"/>
        <v>1-MAR</v>
      </c>
      <c r="O20" s="14" t="s">
        <v>117</v>
      </c>
      <c r="Q20" t="str">
        <f t="shared" si="0"/>
        <v>Oakley Sunglasses</v>
      </c>
    </row>
    <row r="21" spans="1:17" x14ac:dyDescent="0.25">
      <c r="A21" s="4" t="s">
        <v>61</v>
      </c>
      <c r="B21" s="4" t="s">
        <v>62</v>
      </c>
      <c r="C21" s="4" t="s">
        <v>63</v>
      </c>
      <c r="D21" s="4">
        <v>200</v>
      </c>
      <c r="E21" s="4">
        <v>10</v>
      </c>
      <c r="F21" s="4" t="s">
        <v>24</v>
      </c>
      <c r="H21" s="21">
        <v>14</v>
      </c>
      <c r="I21" s="22" t="s">
        <v>170</v>
      </c>
      <c r="J21" s="22" t="s">
        <v>116</v>
      </c>
      <c r="K21" s="23">
        <v>46248</v>
      </c>
      <c r="L21" s="24" t="s">
        <v>116</v>
      </c>
      <c r="N21" s="13" t="str">
        <f t="shared" si="1"/>
        <v>14-AUG</v>
      </c>
      <c r="O21" s="14" t="s">
        <v>116</v>
      </c>
      <c r="Q21" t="str">
        <f t="shared" si="0"/>
        <v>Coleman Camping Tent</v>
      </c>
    </row>
    <row r="22" spans="1:17" x14ac:dyDescent="0.25">
      <c r="A22" s="3" t="s">
        <v>64</v>
      </c>
      <c r="B22" s="3" t="s">
        <v>65</v>
      </c>
      <c r="C22" s="3" t="s">
        <v>66</v>
      </c>
      <c r="D22" s="3">
        <v>700</v>
      </c>
      <c r="E22" s="3">
        <v>50</v>
      </c>
      <c r="F22" s="3" t="s">
        <v>9</v>
      </c>
      <c r="H22" s="21">
        <v>14</v>
      </c>
      <c r="I22" s="22" t="s">
        <v>167</v>
      </c>
      <c r="J22" s="22" t="s">
        <v>125</v>
      </c>
      <c r="K22" s="23">
        <v>46156</v>
      </c>
      <c r="L22" s="24" t="s">
        <v>125</v>
      </c>
      <c r="N22" s="13" t="str">
        <f t="shared" si="1"/>
        <v>14-MAY</v>
      </c>
      <c r="O22" s="14" t="s">
        <v>125</v>
      </c>
      <c r="Q22" t="str">
        <f t="shared" si="0"/>
        <v>Nikon Camera</v>
      </c>
    </row>
    <row r="23" spans="1:17" x14ac:dyDescent="0.25">
      <c r="A23" s="4" t="s">
        <v>67</v>
      </c>
      <c r="B23" s="4" t="s">
        <v>68</v>
      </c>
      <c r="C23" s="4" t="s">
        <v>69</v>
      </c>
      <c r="D23" s="4">
        <v>80</v>
      </c>
      <c r="E23" s="4">
        <v>20</v>
      </c>
      <c r="F23" s="4" t="s">
        <v>17</v>
      </c>
      <c r="H23" s="21">
        <v>9</v>
      </c>
      <c r="I23" s="22" t="s">
        <v>163</v>
      </c>
      <c r="J23" s="22" t="s">
        <v>121</v>
      </c>
      <c r="K23" s="23">
        <v>46031</v>
      </c>
      <c r="L23" s="24" t="s">
        <v>121</v>
      </c>
      <c r="N23" s="13" t="str">
        <f t="shared" si="1"/>
        <v>9-JAN</v>
      </c>
      <c r="O23" s="14" t="s">
        <v>121</v>
      </c>
      <c r="Q23" t="str">
        <f t="shared" si="0"/>
        <v>Panasonic Microwave</v>
      </c>
    </row>
    <row r="24" spans="1:17" x14ac:dyDescent="0.25">
      <c r="A24" s="3" t="s">
        <v>70</v>
      </c>
      <c r="B24" s="3" t="s">
        <v>71</v>
      </c>
      <c r="C24" s="3" t="s">
        <v>72</v>
      </c>
      <c r="D24" s="3">
        <v>150</v>
      </c>
      <c r="E24" s="3">
        <v>30</v>
      </c>
      <c r="F24" s="3" t="s">
        <v>9</v>
      </c>
      <c r="H24" s="21">
        <v>19</v>
      </c>
      <c r="I24" s="22" t="s">
        <v>169</v>
      </c>
      <c r="J24" s="22" t="s">
        <v>126</v>
      </c>
      <c r="K24" s="23">
        <v>46222</v>
      </c>
      <c r="L24" s="24" t="s">
        <v>126</v>
      </c>
      <c r="N24" s="13" t="str">
        <f t="shared" si="1"/>
        <v>19-JUL</v>
      </c>
      <c r="O24" s="14" t="s">
        <v>126</v>
      </c>
      <c r="Q24" t="str">
        <f t="shared" si="0"/>
        <v>Xiaomi Fitness Tracker</v>
      </c>
    </row>
    <row r="25" spans="1:17" x14ac:dyDescent="0.25">
      <c r="A25" s="4" t="s">
        <v>50</v>
      </c>
      <c r="B25" s="4" t="s">
        <v>51</v>
      </c>
      <c r="C25" s="4" t="s">
        <v>52</v>
      </c>
      <c r="D25" s="4">
        <v>50</v>
      </c>
      <c r="E25" s="4">
        <v>35</v>
      </c>
      <c r="F25" s="8" t="s">
        <v>53</v>
      </c>
      <c r="H25" s="21">
        <v>21</v>
      </c>
      <c r="I25" s="22" t="s">
        <v>170</v>
      </c>
      <c r="J25" s="22" t="s">
        <v>121</v>
      </c>
      <c r="K25" s="23">
        <v>46255</v>
      </c>
      <c r="L25" s="24" t="s">
        <v>121</v>
      </c>
      <c r="N25" s="13" t="str">
        <f t="shared" si="1"/>
        <v>21-AUG</v>
      </c>
      <c r="O25" s="14" t="s">
        <v>121</v>
      </c>
      <c r="Q25" t="str">
        <f t="shared" si="0"/>
        <v>Samsonite Laptop Bag</v>
      </c>
    </row>
    <row r="26" spans="1:17" x14ac:dyDescent="0.25">
      <c r="A26" s="3" t="s">
        <v>73</v>
      </c>
      <c r="B26" s="3" t="s">
        <v>19</v>
      </c>
      <c r="C26" s="3" t="s">
        <v>74</v>
      </c>
      <c r="D26" s="3">
        <v>800</v>
      </c>
      <c r="E26" s="3">
        <v>45</v>
      </c>
      <c r="F26" s="3" t="s">
        <v>9</v>
      </c>
      <c r="H26" s="21">
        <v>29</v>
      </c>
      <c r="I26" s="22" t="s">
        <v>171</v>
      </c>
      <c r="J26" s="22" t="s">
        <v>121</v>
      </c>
      <c r="K26" s="23">
        <v>46294</v>
      </c>
      <c r="L26" s="24" t="s">
        <v>121</v>
      </c>
      <c r="N26" s="13" t="str">
        <f t="shared" si="1"/>
        <v>29-SEP</v>
      </c>
      <c r="O26" s="14" t="s">
        <v>121</v>
      </c>
      <c r="Q26" t="str">
        <f t="shared" si="0"/>
        <v>Google Smartphone</v>
      </c>
    </row>
    <row r="27" spans="1:17" x14ac:dyDescent="0.25">
      <c r="A27" s="4" t="s">
        <v>75</v>
      </c>
      <c r="B27" s="4" t="s">
        <v>59</v>
      </c>
      <c r="C27" s="4" t="s">
        <v>76</v>
      </c>
      <c r="D27" s="4">
        <v>130</v>
      </c>
      <c r="E27" s="4">
        <v>25</v>
      </c>
      <c r="F27" s="4" t="s">
        <v>13</v>
      </c>
      <c r="H27" s="21">
        <v>3</v>
      </c>
      <c r="I27" s="22" t="s">
        <v>168</v>
      </c>
      <c r="J27" s="22" t="s">
        <v>121</v>
      </c>
      <c r="K27" s="23">
        <v>46176</v>
      </c>
      <c r="L27" s="24" t="s">
        <v>121</v>
      </c>
      <c r="N27" s="13" t="str">
        <f t="shared" si="1"/>
        <v>3-JUN</v>
      </c>
      <c r="O27" s="14" t="s">
        <v>121</v>
      </c>
      <c r="Q27" t="str">
        <f t="shared" si="0"/>
        <v>Ray-Ban Sunglasses</v>
      </c>
    </row>
    <row r="28" spans="1:17" x14ac:dyDescent="0.25">
      <c r="A28" s="3" t="s">
        <v>77</v>
      </c>
      <c r="B28" s="3" t="s">
        <v>32</v>
      </c>
      <c r="C28" s="3" t="s">
        <v>78</v>
      </c>
      <c r="D28" s="3">
        <v>400</v>
      </c>
      <c r="E28" s="3">
        <v>40</v>
      </c>
      <c r="F28" s="3" t="s">
        <v>17</v>
      </c>
      <c r="H28" s="21">
        <v>11</v>
      </c>
      <c r="I28" s="22" t="s">
        <v>169</v>
      </c>
      <c r="J28" s="22" t="s">
        <v>121</v>
      </c>
      <c r="K28" s="23">
        <v>46214</v>
      </c>
      <c r="L28" s="24" t="s">
        <v>121</v>
      </c>
      <c r="N28" s="13" t="str">
        <f t="shared" si="1"/>
        <v>11-JUL</v>
      </c>
      <c r="O28" s="14" t="s">
        <v>121</v>
      </c>
      <c r="Q28" t="str">
        <f t="shared" si="0"/>
        <v>Vitamix Blender</v>
      </c>
    </row>
    <row r="29" spans="1:17" x14ac:dyDescent="0.25">
      <c r="A29" s="4" t="s">
        <v>48</v>
      </c>
      <c r="B29" s="4" t="s">
        <v>26</v>
      </c>
      <c r="C29" s="4" t="s">
        <v>49</v>
      </c>
      <c r="D29" s="4">
        <v>230</v>
      </c>
      <c r="E29" s="4">
        <v>20</v>
      </c>
      <c r="F29" s="4" t="s">
        <v>9</v>
      </c>
      <c r="H29" s="21">
        <v>16</v>
      </c>
      <c r="I29" s="22" t="s">
        <v>166</v>
      </c>
      <c r="J29" s="22" t="s">
        <v>122</v>
      </c>
      <c r="K29" s="23">
        <v>46128</v>
      </c>
      <c r="L29" s="24" t="s">
        <v>122</v>
      </c>
      <c r="N29" s="13" t="str">
        <f t="shared" si="1"/>
        <v>16-APR</v>
      </c>
      <c r="O29" s="14" t="s">
        <v>122</v>
      </c>
      <c r="Q29" t="str">
        <f t="shared" si="0"/>
        <v>Bose Headphones</v>
      </c>
    </row>
    <row r="30" spans="1:17" x14ac:dyDescent="0.25">
      <c r="A30" s="3" t="s">
        <v>79</v>
      </c>
      <c r="B30" s="3" t="s">
        <v>80</v>
      </c>
      <c r="C30" s="3" t="s">
        <v>81</v>
      </c>
      <c r="D30" s="3">
        <v>60</v>
      </c>
      <c r="E30" s="3">
        <v>30</v>
      </c>
      <c r="F30" s="3" t="s">
        <v>13</v>
      </c>
      <c r="H30" s="21">
        <v>7</v>
      </c>
      <c r="I30" s="22" t="s">
        <v>165</v>
      </c>
      <c r="J30" s="22" t="s">
        <v>121</v>
      </c>
      <c r="K30" s="23">
        <v>46088</v>
      </c>
      <c r="L30" s="24" t="s">
        <v>121</v>
      </c>
      <c r="N30" s="13" t="str">
        <f t="shared" si="1"/>
        <v>7-MAR</v>
      </c>
      <c r="O30" s="14" t="s">
        <v>121</v>
      </c>
      <c r="Q30" t="str">
        <f t="shared" si="0"/>
        <v>Zara Dress</v>
      </c>
    </row>
    <row r="31" spans="1:17" x14ac:dyDescent="0.25">
      <c r="A31" s="4" t="s">
        <v>82</v>
      </c>
      <c r="B31" s="4" t="s">
        <v>83</v>
      </c>
      <c r="C31" s="4" t="s">
        <v>84</v>
      </c>
      <c r="D31" s="4">
        <v>40</v>
      </c>
      <c r="E31" s="4">
        <v>10</v>
      </c>
      <c r="F31" s="4" t="s">
        <v>17</v>
      </c>
      <c r="H31" s="21">
        <v>13</v>
      </c>
      <c r="I31" s="22" t="s">
        <v>166</v>
      </c>
      <c r="J31" s="22" t="s">
        <v>121</v>
      </c>
      <c r="K31" s="23">
        <v>46125</v>
      </c>
      <c r="L31" s="24" t="s">
        <v>121</v>
      </c>
      <c r="N31" s="13" t="str">
        <f t="shared" si="1"/>
        <v>13-APR</v>
      </c>
      <c r="O31" s="14" t="s">
        <v>121</v>
      </c>
      <c r="Q31" t="str">
        <f t="shared" si="0"/>
        <v>Hamilton Toaster</v>
      </c>
    </row>
    <row r="32" spans="1:17" x14ac:dyDescent="0.25">
      <c r="A32" s="3" t="s">
        <v>85</v>
      </c>
      <c r="B32" s="3" t="s">
        <v>71</v>
      </c>
      <c r="C32" s="3" t="s">
        <v>86</v>
      </c>
      <c r="D32" s="3">
        <v>130</v>
      </c>
      <c r="E32" s="3">
        <v>5</v>
      </c>
      <c r="F32" s="3" t="s">
        <v>9</v>
      </c>
      <c r="H32" s="21">
        <v>24</v>
      </c>
      <c r="I32" s="22" t="s">
        <v>167</v>
      </c>
      <c r="J32" s="22" t="s">
        <v>121</v>
      </c>
      <c r="K32" s="23">
        <v>46166</v>
      </c>
      <c r="L32" s="24" t="s">
        <v>121</v>
      </c>
      <c r="N32" s="13" t="str">
        <f t="shared" si="1"/>
        <v>24-MAY</v>
      </c>
      <c r="O32" s="14" t="s">
        <v>121</v>
      </c>
      <c r="Q32" t="str">
        <f t="shared" si="0"/>
        <v>Garmin Fitness Tracker</v>
      </c>
    </row>
    <row r="33" spans="1:17" x14ac:dyDescent="0.25">
      <c r="A33" s="4" t="s">
        <v>87</v>
      </c>
      <c r="B33" s="4" t="s">
        <v>88</v>
      </c>
      <c r="C33" s="4" t="s">
        <v>89</v>
      </c>
      <c r="D33" s="4">
        <v>50</v>
      </c>
      <c r="E33" s="4">
        <v>50</v>
      </c>
      <c r="F33" s="4" t="s">
        <v>13</v>
      </c>
      <c r="H33" s="21">
        <v>2</v>
      </c>
      <c r="I33" s="22" t="s">
        <v>174</v>
      </c>
      <c r="J33" s="22" t="s">
        <v>121</v>
      </c>
      <c r="K33" s="23">
        <v>46358</v>
      </c>
      <c r="L33" s="24" t="s">
        <v>121</v>
      </c>
      <c r="N33" s="13" t="str">
        <f t="shared" si="1"/>
        <v>2-DEC</v>
      </c>
      <c r="O33" s="14" t="s">
        <v>121</v>
      </c>
      <c r="Q33" t="str">
        <f t="shared" si="0"/>
        <v>Levi's Jeans</v>
      </c>
    </row>
    <row r="34" spans="1:17" x14ac:dyDescent="0.25">
      <c r="A34" s="3" t="s">
        <v>40</v>
      </c>
      <c r="B34" s="3" t="s">
        <v>7</v>
      </c>
      <c r="C34" s="3" t="s">
        <v>41</v>
      </c>
      <c r="D34" s="3">
        <v>950</v>
      </c>
      <c r="E34" s="3">
        <v>25</v>
      </c>
      <c r="F34" s="3" t="s">
        <v>9</v>
      </c>
      <c r="H34" s="21">
        <v>17</v>
      </c>
      <c r="I34" s="22" t="s">
        <v>168</v>
      </c>
      <c r="J34" s="22" t="s">
        <v>118</v>
      </c>
      <c r="K34" s="23">
        <v>46190</v>
      </c>
      <c r="L34" s="24" t="s">
        <v>118</v>
      </c>
      <c r="N34" s="13" t="str">
        <f t="shared" si="1"/>
        <v>17-JUN</v>
      </c>
      <c r="O34" s="14" t="s">
        <v>118</v>
      </c>
      <c r="Q34" t="str">
        <f t="shared" si="0"/>
        <v>HP Laptop</v>
      </c>
    </row>
    <row r="35" spans="1:17" x14ac:dyDescent="0.25">
      <c r="A35" s="4" t="s">
        <v>90</v>
      </c>
      <c r="B35" s="4" t="s">
        <v>91</v>
      </c>
      <c r="C35" s="4" t="s">
        <v>92</v>
      </c>
      <c r="D35" s="4">
        <v>100</v>
      </c>
      <c r="E35" s="4">
        <v>20</v>
      </c>
      <c r="F35" s="8" t="s">
        <v>53</v>
      </c>
      <c r="H35" s="21">
        <v>9</v>
      </c>
      <c r="I35" s="22" t="s">
        <v>169</v>
      </c>
      <c r="J35" s="22" t="s">
        <v>127</v>
      </c>
      <c r="K35" s="23">
        <v>46212</v>
      </c>
      <c r="L35" s="24" t="s">
        <v>127</v>
      </c>
      <c r="N35" s="13" t="str">
        <f t="shared" si="1"/>
        <v>9-JUL</v>
      </c>
      <c r="O35" s="14" t="s">
        <v>127</v>
      </c>
      <c r="Q35" t="str">
        <f t="shared" si="0"/>
        <v>Casio Watch</v>
      </c>
    </row>
    <row r="37" spans="1:17" x14ac:dyDescent="0.25">
      <c r="F37" s="6" t="s">
        <v>109</v>
      </c>
    </row>
    <row r="38" spans="1:17" x14ac:dyDescent="0.25">
      <c r="F38" s="6" t="s">
        <v>176</v>
      </c>
    </row>
    <row r="39" spans="1:17" x14ac:dyDescent="0.25">
      <c r="F39" s="6" t="s">
        <v>193</v>
      </c>
    </row>
    <row r="40" spans="1:17" x14ac:dyDescent="0.25">
      <c r="F40" s="6" t="s">
        <v>182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028C-B8BE-4E0E-A9B0-301DDDF3B99F}">
  <dimension ref="A1:N40"/>
  <sheetViews>
    <sheetView topLeftCell="A19" workbookViewId="0">
      <selection activeCell="F40" sqref="F40"/>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1" bestFit="1" customWidth="1"/>
    <col min="10" max="10" width="10.88671875" bestFit="1" customWidth="1"/>
    <col min="14" max="14" width="14" customWidth="1"/>
  </cols>
  <sheetData>
    <row r="1" spans="1:14" x14ac:dyDescent="0.25">
      <c r="A1" s="1" t="s">
        <v>0</v>
      </c>
      <c r="B1" s="1" t="s">
        <v>1</v>
      </c>
      <c r="C1" s="1" t="s">
        <v>2</v>
      </c>
      <c r="D1" s="1" t="s">
        <v>3</v>
      </c>
      <c r="E1" s="1" t="s">
        <v>4</v>
      </c>
      <c r="F1" s="1" t="s">
        <v>5</v>
      </c>
      <c r="J1" s="6" t="s">
        <v>3</v>
      </c>
      <c r="L1" s="6" t="s">
        <v>114</v>
      </c>
      <c r="N1" s="6" t="s">
        <v>159</v>
      </c>
    </row>
    <row r="2" spans="1:14" x14ac:dyDescent="0.25">
      <c r="A2" s="3" t="s">
        <v>6</v>
      </c>
      <c r="B2" s="3" t="s">
        <v>7</v>
      </c>
      <c r="C2" s="3" t="s">
        <v>8</v>
      </c>
      <c r="D2" s="3">
        <v>1000</v>
      </c>
      <c r="E2" s="3">
        <v>30</v>
      </c>
      <c r="F2" s="3" t="s">
        <v>9</v>
      </c>
      <c r="J2" s="17">
        <v>1000</v>
      </c>
      <c r="L2" s="13" t="s">
        <v>128</v>
      </c>
      <c r="N2" s="18">
        <v>46050</v>
      </c>
    </row>
    <row r="3" spans="1:14" x14ac:dyDescent="0.25">
      <c r="A3" s="4" t="s">
        <v>10</v>
      </c>
      <c r="B3" s="4" t="s">
        <v>11</v>
      </c>
      <c r="C3" s="4" t="s">
        <v>12</v>
      </c>
      <c r="D3" s="4">
        <v>80</v>
      </c>
      <c r="E3" s="4">
        <v>15</v>
      </c>
      <c r="F3" s="4" t="s">
        <v>13</v>
      </c>
      <c r="J3" s="17">
        <v>80</v>
      </c>
      <c r="L3" s="13" t="s">
        <v>129</v>
      </c>
      <c r="N3" s="18">
        <v>46068</v>
      </c>
    </row>
    <row r="4" spans="1:14" x14ac:dyDescent="0.25">
      <c r="A4" s="3" t="s">
        <v>14</v>
      </c>
      <c r="B4" s="3" t="s">
        <v>15</v>
      </c>
      <c r="C4" s="3" t="s">
        <v>16</v>
      </c>
      <c r="D4" s="3">
        <v>130</v>
      </c>
      <c r="E4" s="3">
        <v>40</v>
      </c>
      <c r="F4" s="3" t="s">
        <v>17</v>
      </c>
      <c r="J4" s="17">
        <v>130</v>
      </c>
      <c r="L4" s="13" t="s">
        <v>130</v>
      </c>
      <c r="N4" s="18">
        <v>46084</v>
      </c>
    </row>
    <row r="5" spans="1:14" x14ac:dyDescent="0.25">
      <c r="A5" s="4" t="s">
        <v>18</v>
      </c>
      <c r="B5" s="4" t="s">
        <v>19</v>
      </c>
      <c r="C5" s="4" t="s">
        <v>20</v>
      </c>
      <c r="D5" s="4">
        <v>900</v>
      </c>
      <c r="E5" s="4">
        <v>25</v>
      </c>
      <c r="F5" s="4" t="s">
        <v>9</v>
      </c>
      <c r="J5" s="17">
        <v>900</v>
      </c>
      <c r="L5" s="13" t="s">
        <v>131</v>
      </c>
      <c r="N5" s="18">
        <v>46123</v>
      </c>
    </row>
    <row r="6" spans="1:14" x14ac:dyDescent="0.25">
      <c r="A6" s="3" t="s">
        <v>21</v>
      </c>
      <c r="B6" s="10" t="s">
        <v>22</v>
      </c>
      <c r="C6" s="3" t="s">
        <v>23</v>
      </c>
      <c r="D6" s="3">
        <v>70</v>
      </c>
      <c r="E6" s="3">
        <v>20</v>
      </c>
      <c r="F6" s="3" t="s">
        <v>24</v>
      </c>
      <c r="J6" s="17">
        <v>70</v>
      </c>
      <c r="L6" s="13" t="s">
        <v>132</v>
      </c>
      <c r="N6" s="18">
        <v>46164</v>
      </c>
    </row>
    <row r="7" spans="1:14" x14ac:dyDescent="0.25">
      <c r="A7" s="4" t="s">
        <v>25</v>
      </c>
      <c r="B7" s="4" t="s">
        <v>26</v>
      </c>
      <c r="C7" s="4" t="s">
        <v>27</v>
      </c>
      <c r="D7" s="4">
        <v>200</v>
      </c>
      <c r="E7" s="4">
        <v>45</v>
      </c>
      <c r="F7" s="4" t="s">
        <v>9</v>
      </c>
      <c r="J7" s="17">
        <v>200</v>
      </c>
      <c r="L7" s="13" t="s">
        <v>133</v>
      </c>
      <c r="N7" s="18">
        <v>46180</v>
      </c>
    </row>
    <row r="8" spans="1:14" x14ac:dyDescent="0.25">
      <c r="A8" s="3" t="s">
        <v>28</v>
      </c>
      <c r="B8" s="3" t="s">
        <v>29</v>
      </c>
      <c r="C8" s="3" t="s">
        <v>30</v>
      </c>
      <c r="D8" s="3">
        <v>30</v>
      </c>
      <c r="E8" s="3">
        <v>5</v>
      </c>
      <c r="F8" s="3" t="s">
        <v>13</v>
      </c>
      <c r="J8" s="17">
        <v>30</v>
      </c>
      <c r="L8" s="13" t="s">
        <v>134</v>
      </c>
      <c r="N8" s="18">
        <v>46222</v>
      </c>
    </row>
    <row r="9" spans="1:14" x14ac:dyDescent="0.25">
      <c r="A9" s="4" t="s">
        <v>31</v>
      </c>
      <c r="B9" s="4" t="s">
        <v>32</v>
      </c>
      <c r="C9" s="4" t="s">
        <v>33</v>
      </c>
      <c r="D9" s="4">
        <v>90</v>
      </c>
      <c r="E9" s="4">
        <v>35</v>
      </c>
      <c r="F9" s="4" t="s">
        <v>17</v>
      </c>
      <c r="J9" s="17">
        <v>90</v>
      </c>
      <c r="L9" s="13" t="s">
        <v>135</v>
      </c>
      <c r="N9" s="18">
        <v>46257</v>
      </c>
    </row>
    <row r="10" spans="1:14" x14ac:dyDescent="0.25">
      <c r="A10" s="3" t="s">
        <v>34</v>
      </c>
      <c r="B10" s="3" t="s">
        <v>35</v>
      </c>
      <c r="C10" s="3" t="s">
        <v>36</v>
      </c>
      <c r="D10" s="3">
        <v>500</v>
      </c>
      <c r="E10" s="3">
        <v>50</v>
      </c>
      <c r="F10" s="3" t="s">
        <v>9</v>
      </c>
      <c r="J10" s="17">
        <v>500</v>
      </c>
      <c r="L10" s="13" t="s">
        <v>136</v>
      </c>
      <c r="N10" s="18">
        <v>46270</v>
      </c>
    </row>
    <row r="11" spans="1:14" x14ac:dyDescent="0.25">
      <c r="A11" s="4" t="s">
        <v>37</v>
      </c>
      <c r="B11" s="8" t="s">
        <v>38</v>
      </c>
      <c r="C11" s="4" t="s">
        <v>39</v>
      </c>
      <c r="D11" s="4">
        <v>130</v>
      </c>
      <c r="E11" s="4">
        <v>10</v>
      </c>
      <c r="F11" s="4" t="s">
        <v>24</v>
      </c>
      <c r="J11" s="17">
        <v>130</v>
      </c>
      <c r="L11" s="13" t="s">
        <v>137</v>
      </c>
      <c r="N11" s="18">
        <v>46309</v>
      </c>
    </row>
    <row r="12" spans="1:14" x14ac:dyDescent="0.25">
      <c r="A12" s="3" t="s">
        <v>40</v>
      </c>
      <c r="B12" s="3" t="s">
        <v>7</v>
      </c>
      <c r="C12" s="3" t="s">
        <v>41</v>
      </c>
      <c r="D12" s="3">
        <v>950</v>
      </c>
      <c r="E12" s="3">
        <v>25</v>
      </c>
      <c r="F12" s="3" t="s">
        <v>9</v>
      </c>
      <c r="J12" s="17">
        <v>950</v>
      </c>
      <c r="L12" s="13" t="s">
        <v>138</v>
      </c>
      <c r="N12" s="18">
        <v>46190</v>
      </c>
    </row>
    <row r="13" spans="1:14" x14ac:dyDescent="0.25">
      <c r="A13" s="4" t="s">
        <v>42</v>
      </c>
      <c r="B13" s="4" t="s">
        <v>11</v>
      </c>
      <c r="C13" s="4" t="s">
        <v>30</v>
      </c>
      <c r="D13" s="4">
        <v>90</v>
      </c>
      <c r="E13" s="4">
        <v>40</v>
      </c>
      <c r="F13" s="4" t="s">
        <v>13</v>
      </c>
      <c r="J13" s="17">
        <v>90</v>
      </c>
      <c r="L13" s="13" t="s">
        <v>139</v>
      </c>
      <c r="N13" s="18">
        <v>46351</v>
      </c>
    </row>
    <row r="14" spans="1:14" x14ac:dyDescent="0.25">
      <c r="A14" s="3" t="s">
        <v>43</v>
      </c>
      <c r="B14" s="3" t="s">
        <v>15</v>
      </c>
      <c r="C14" s="3" t="s">
        <v>44</v>
      </c>
      <c r="D14" s="3">
        <v>120</v>
      </c>
      <c r="E14" s="3">
        <v>35</v>
      </c>
      <c r="F14" s="3" t="s">
        <v>17</v>
      </c>
      <c r="J14" s="17">
        <v>120</v>
      </c>
      <c r="L14" s="13" t="s">
        <v>140</v>
      </c>
      <c r="N14" s="18">
        <v>46364</v>
      </c>
    </row>
    <row r="15" spans="1:14" x14ac:dyDescent="0.25">
      <c r="A15" s="4" t="s">
        <v>45</v>
      </c>
      <c r="B15" s="4" t="s">
        <v>46</v>
      </c>
      <c r="C15" s="4" t="s">
        <v>47</v>
      </c>
      <c r="D15" s="4">
        <v>150</v>
      </c>
      <c r="E15" s="4">
        <v>15</v>
      </c>
      <c r="F15" s="4" t="s">
        <v>9</v>
      </c>
      <c r="J15" s="17">
        <v>150</v>
      </c>
      <c r="L15" s="13" t="s">
        <v>141</v>
      </c>
      <c r="N15" s="18">
        <v>46071</v>
      </c>
    </row>
    <row r="16" spans="1:14" x14ac:dyDescent="0.25">
      <c r="A16" s="3" t="s">
        <v>48</v>
      </c>
      <c r="B16" s="3" t="s">
        <v>26</v>
      </c>
      <c r="C16" s="3" t="s">
        <v>49</v>
      </c>
      <c r="D16" s="3">
        <v>250</v>
      </c>
      <c r="E16" s="3">
        <v>20</v>
      </c>
      <c r="F16" s="3" t="s">
        <v>9</v>
      </c>
      <c r="J16" s="17">
        <v>250</v>
      </c>
      <c r="L16" s="13" t="s">
        <v>142</v>
      </c>
      <c r="N16" s="18">
        <v>46128</v>
      </c>
    </row>
    <row r="17" spans="1:14" x14ac:dyDescent="0.25">
      <c r="A17" s="4" t="s">
        <v>50</v>
      </c>
      <c r="B17" s="4" t="s">
        <v>51</v>
      </c>
      <c r="C17" s="4" t="s">
        <v>52</v>
      </c>
      <c r="D17" s="4">
        <v>50</v>
      </c>
      <c r="E17" s="4">
        <v>35</v>
      </c>
      <c r="F17" s="8" t="s">
        <v>53</v>
      </c>
      <c r="J17" s="17">
        <v>50</v>
      </c>
      <c r="L17" s="13" t="s">
        <v>143</v>
      </c>
      <c r="N17" s="18">
        <v>46255</v>
      </c>
    </row>
    <row r="18" spans="1:14" x14ac:dyDescent="0.25">
      <c r="A18" s="3" t="s">
        <v>54</v>
      </c>
      <c r="B18" s="3" t="s">
        <v>46</v>
      </c>
      <c r="C18" s="3" t="s">
        <v>55</v>
      </c>
      <c r="D18" s="3">
        <v>160</v>
      </c>
      <c r="E18" s="3">
        <v>15</v>
      </c>
      <c r="F18" s="3" t="s">
        <v>9</v>
      </c>
      <c r="J18" s="17">
        <v>160</v>
      </c>
      <c r="L18" s="13" t="s">
        <v>144</v>
      </c>
      <c r="N18" s="18">
        <v>46254</v>
      </c>
    </row>
    <row r="19" spans="1:14" x14ac:dyDescent="0.25">
      <c r="A19" s="4" t="s">
        <v>56</v>
      </c>
      <c r="B19" s="4" t="s">
        <v>7</v>
      </c>
      <c r="C19" s="4" t="s">
        <v>57</v>
      </c>
      <c r="D19" s="4">
        <v>980</v>
      </c>
      <c r="E19" s="4">
        <v>10</v>
      </c>
      <c r="F19" s="4" t="s">
        <v>9</v>
      </c>
      <c r="J19" s="17">
        <v>980</v>
      </c>
      <c r="L19" s="13" t="s">
        <v>145</v>
      </c>
      <c r="N19" s="18">
        <v>46049</v>
      </c>
    </row>
    <row r="20" spans="1:14" x14ac:dyDescent="0.25">
      <c r="A20" s="3" t="s">
        <v>58</v>
      </c>
      <c r="B20" s="3" t="s">
        <v>59</v>
      </c>
      <c r="C20" s="3" t="s">
        <v>60</v>
      </c>
      <c r="D20" s="3">
        <v>150</v>
      </c>
      <c r="E20" s="3">
        <v>15</v>
      </c>
      <c r="F20" s="3" t="s">
        <v>13</v>
      </c>
      <c r="J20" s="17">
        <v>150</v>
      </c>
      <c r="L20" s="13" t="s">
        <v>146</v>
      </c>
      <c r="N20" s="18">
        <v>46082</v>
      </c>
    </row>
    <row r="21" spans="1:14" x14ac:dyDescent="0.25">
      <c r="A21" s="4" t="s">
        <v>61</v>
      </c>
      <c r="B21" s="4" t="s">
        <v>62</v>
      </c>
      <c r="C21" s="4" t="s">
        <v>63</v>
      </c>
      <c r="D21" s="4">
        <v>200</v>
      </c>
      <c r="E21" s="4">
        <v>10</v>
      </c>
      <c r="F21" s="4" t="s">
        <v>24</v>
      </c>
      <c r="J21" s="17">
        <v>200</v>
      </c>
      <c r="L21" s="13" t="s">
        <v>147</v>
      </c>
      <c r="N21" s="18">
        <v>46248</v>
      </c>
    </row>
    <row r="22" spans="1:14" x14ac:dyDescent="0.25">
      <c r="A22" s="3" t="s">
        <v>64</v>
      </c>
      <c r="B22" s="3" t="s">
        <v>65</v>
      </c>
      <c r="C22" s="3" t="s">
        <v>66</v>
      </c>
      <c r="D22" s="3">
        <v>700</v>
      </c>
      <c r="E22" s="3">
        <v>50</v>
      </c>
      <c r="F22" s="3" t="s">
        <v>9</v>
      </c>
      <c r="J22" s="17">
        <v>700</v>
      </c>
      <c r="L22" s="13" t="s">
        <v>148</v>
      </c>
      <c r="N22" s="18">
        <v>46156</v>
      </c>
    </row>
    <row r="23" spans="1:14" x14ac:dyDescent="0.25">
      <c r="A23" s="4" t="s">
        <v>67</v>
      </c>
      <c r="B23" s="4" t="s">
        <v>68</v>
      </c>
      <c r="C23" s="4" t="s">
        <v>69</v>
      </c>
      <c r="D23" s="4">
        <v>80</v>
      </c>
      <c r="E23" s="4">
        <v>20</v>
      </c>
      <c r="F23" s="4" t="s">
        <v>17</v>
      </c>
      <c r="J23" s="17">
        <v>80</v>
      </c>
      <c r="L23" s="13" t="s">
        <v>149</v>
      </c>
      <c r="N23" s="18">
        <v>46031</v>
      </c>
    </row>
    <row r="24" spans="1:14" x14ac:dyDescent="0.25">
      <c r="A24" s="3" t="s">
        <v>70</v>
      </c>
      <c r="B24" s="3" t="s">
        <v>71</v>
      </c>
      <c r="C24" s="3" t="s">
        <v>72</v>
      </c>
      <c r="D24" s="3">
        <v>150</v>
      </c>
      <c r="E24" s="3">
        <v>30</v>
      </c>
      <c r="F24" s="3" t="s">
        <v>9</v>
      </c>
      <c r="J24" s="17">
        <v>150</v>
      </c>
      <c r="L24" s="13" t="s">
        <v>134</v>
      </c>
      <c r="N24" s="18">
        <v>46222</v>
      </c>
    </row>
    <row r="25" spans="1:14" x14ac:dyDescent="0.25">
      <c r="A25" s="4" t="s">
        <v>50</v>
      </c>
      <c r="B25" s="4" t="s">
        <v>51</v>
      </c>
      <c r="C25" s="4" t="s">
        <v>52</v>
      </c>
      <c r="D25" s="4">
        <v>50</v>
      </c>
      <c r="E25" s="4">
        <v>35</v>
      </c>
      <c r="F25" s="8" t="s">
        <v>53</v>
      </c>
      <c r="J25" s="17">
        <v>50</v>
      </c>
      <c r="L25" s="13" t="s">
        <v>143</v>
      </c>
      <c r="N25" s="18">
        <v>46255</v>
      </c>
    </row>
    <row r="26" spans="1:14" x14ac:dyDescent="0.25">
      <c r="A26" s="3" t="s">
        <v>73</v>
      </c>
      <c r="B26" s="3" t="s">
        <v>19</v>
      </c>
      <c r="C26" s="3" t="s">
        <v>74</v>
      </c>
      <c r="D26" s="3">
        <v>800</v>
      </c>
      <c r="E26" s="3">
        <v>45</v>
      </c>
      <c r="F26" s="3" t="s">
        <v>9</v>
      </c>
      <c r="J26" s="17">
        <v>800</v>
      </c>
      <c r="L26" s="13" t="s">
        <v>150</v>
      </c>
      <c r="N26" s="18">
        <v>46294</v>
      </c>
    </row>
    <row r="27" spans="1:14" x14ac:dyDescent="0.25">
      <c r="A27" s="4" t="s">
        <v>75</v>
      </c>
      <c r="B27" s="4" t="s">
        <v>59</v>
      </c>
      <c r="C27" s="4" t="s">
        <v>76</v>
      </c>
      <c r="D27" s="4">
        <v>130</v>
      </c>
      <c r="E27" s="4">
        <v>25</v>
      </c>
      <c r="F27" s="4" t="s">
        <v>13</v>
      </c>
      <c r="J27" s="17">
        <v>130</v>
      </c>
      <c r="L27" s="13" t="s">
        <v>151</v>
      </c>
      <c r="N27" s="18">
        <v>46176</v>
      </c>
    </row>
    <row r="28" spans="1:14" x14ac:dyDescent="0.25">
      <c r="A28" s="3" t="s">
        <v>77</v>
      </c>
      <c r="B28" s="3" t="s">
        <v>32</v>
      </c>
      <c r="C28" s="3" t="s">
        <v>78</v>
      </c>
      <c r="D28" s="3">
        <v>400</v>
      </c>
      <c r="E28" s="3">
        <v>40</v>
      </c>
      <c r="F28" s="3" t="s">
        <v>17</v>
      </c>
      <c r="J28" s="17">
        <v>400</v>
      </c>
      <c r="L28" s="13" t="s">
        <v>152</v>
      </c>
      <c r="N28" s="18">
        <v>46214</v>
      </c>
    </row>
    <row r="29" spans="1:14" x14ac:dyDescent="0.25">
      <c r="A29" s="4" t="s">
        <v>48</v>
      </c>
      <c r="B29" s="4" t="s">
        <v>26</v>
      </c>
      <c r="C29" s="4" t="s">
        <v>49</v>
      </c>
      <c r="D29" s="4">
        <v>230</v>
      </c>
      <c r="E29" s="4">
        <v>20</v>
      </c>
      <c r="F29" s="4" t="s">
        <v>9</v>
      </c>
      <c r="J29" s="17">
        <v>230</v>
      </c>
      <c r="L29" s="13" t="s">
        <v>142</v>
      </c>
      <c r="N29" s="18">
        <v>46128</v>
      </c>
    </row>
    <row r="30" spans="1:14" x14ac:dyDescent="0.25">
      <c r="A30" s="3" t="s">
        <v>79</v>
      </c>
      <c r="B30" s="3" t="s">
        <v>80</v>
      </c>
      <c r="C30" s="3" t="s">
        <v>81</v>
      </c>
      <c r="D30" s="3">
        <v>60</v>
      </c>
      <c r="E30" s="3">
        <v>30</v>
      </c>
      <c r="F30" s="3" t="s">
        <v>13</v>
      </c>
      <c r="J30" s="17">
        <v>60</v>
      </c>
      <c r="L30" s="13" t="s">
        <v>153</v>
      </c>
      <c r="N30" s="18">
        <v>46088</v>
      </c>
    </row>
    <row r="31" spans="1:14" x14ac:dyDescent="0.25">
      <c r="A31" s="4" t="s">
        <v>82</v>
      </c>
      <c r="B31" s="4" t="s">
        <v>83</v>
      </c>
      <c r="C31" s="4" t="s">
        <v>84</v>
      </c>
      <c r="D31" s="4">
        <v>40</v>
      </c>
      <c r="E31" s="4">
        <v>10</v>
      </c>
      <c r="F31" s="4" t="s">
        <v>17</v>
      </c>
      <c r="J31" s="17">
        <v>40</v>
      </c>
      <c r="L31" s="13" t="s">
        <v>154</v>
      </c>
      <c r="N31" s="18">
        <v>46125</v>
      </c>
    </row>
    <row r="32" spans="1:14" x14ac:dyDescent="0.25">
      <c r="A32" s="3" t="s">
        <v>85</v>
      </c>
      <c r="B32" s="3" t="s">
        <v>71</v>
      </c>
      <c r="C32" s="3" t="s">
        <v>86</v>
      </c>
      <c r="D32" s="3">
        <v>130</v>
      </c>
      <c r="E32" s="3">
        <v>5</v>
      </c>
      <c r="F32" s="3" t="s">
        <v>9</v>
      </c>
      <c r="J32" s="17">
        <v>130</v>
      </c>
      <c r="L32" s="13" t="s">
        <v>155</v>
      </c>
      <c r="N32" s="18">
        <v>46166</v>
      </c>
    </row>
    <row r="33" spans="1:14" x14ac:dyDescent="0.25">
      <c r="A33" s="4" t="s">
        <v>87</v>
      </c>
      <c r="B33" s="4" t="s">
        <v>88</v>
      </c>
      <c r="C33" s="4" t="s">
        <v>89</v>
      </c>
      <c r="D33" s="4">
        <v>50</v>
      </c>
      <c r="E33" s="4">
        <v>50</v>
      </c>
      <c r="F33" s="4" t="s">
        <v>13</v>
      </c>
      <c r="J33" s="17">
        <v>50</v>
      </c>
      <c r="L33" s="13" t="s">
        <v>156</v>
      </c>
      <c r="N33" s="18">
        <v>46358</v>
      </c>
    </row>
    <row r="34" spans="1:14" x14ac:dyDescent="0.25">
      <c r="A34" s="3" t="s">
        <v>40</v>
      </c>
      <c r="B34" s="3" t="s">
        <v>7</v>
      </c>
      <c r="C34" s="3" t="s">
        <v>41</v>
      </c>
      <c r="D34" s="3">
        <v>950</v>
      </c>
      <c r="E34" s="3">
        <v>25</v>
      </c>
      <c r="F34" s="3" t="s">
        <v>9</v>
      </c>
      <c r="J34" s="17">
        <v>950</v>
      </c>
      <c r="L34" s="13" t="s">
        <v>138</v>
      </c>
      <c r="N34" s="18">
        <v>46190</v>
      </c>
    </row>
    <row r="35" spans="1:14" x14ac:dyDescent="0.25">
      <c r="A35" s="4" t="s">
        <v>90</v>
      </c>
      <c r="B35" s="4" t="s">
        <v>91</v>
      </c>
      <c r="C35" s="4" t="s">
        <v>92</v>
      </c>
      <c r="D35" s="4">
        <v>100</v>
      </c>
      <c r="E35" s="4">
        <v>20</v>
      </c>
      <c r="F35" s="8" t="s">
        <v>53</v>
      </c>
      <c r="J35" s="17">
        <v>100</v>
      </c>
      <c r="L35" s="13" t="s">
        <v>157</v>
      </c>
      <c r="N35" s="18">
        <v>46212</v>
      </c>
    </row>
    <row r="38" spans="1:14" x14ac:dyDescent="0.25">
      <c r="F38" s="6" t="s">
        <v>109</v>
      </c>
    </row>
    <row r="39" spans="1:14" x14ac:dyDescent="0.25">
      <c r="F39" s="6" t="s">
        <v>160</v>
      </c>
    </row>
    <row r="40" spans="1:14" x14ac:dyDescent="0.25">
      <c r="F40" s="6" t="s">
        <v>161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2E97-D859-4847-941C-32ED06F09C0B}">
  <dimension ref="A1:M39"/>
  <sheetViews>
    <sheetView topLeftCell="A16" workbookViewId="0">
      <selection activeCell="F39" sqref="F39"/>
    </sheetView>
  </sheetViews>
  <sheetFormatPr defaultRowHeight="13.2" x14ac:dyDescent="0.25"/>
  <cols>
    <col min="1" max="1" width="10.77734375" bestFit="1" customWidth="1"/>
    <col min="2" max="2" width="13.6640625" bestFit="1" customWidth="1"/>
    <col min="3" max="3" width="11.77734375" bestFit="1" customWidth="1"/>
    <col min="4" max="4" width="8.33203125" bestFit="1" customWidth="1"/>
    <col min="5" max="5" width="8.44140625" bestFit="1" customWidth="1"/>
    <col min="6" max="6" width="11" bestFit="1" customWidth="1"/>
    <col min="11" max="11" width="19.77734375" bestFit="1" customWidth="1"/>
    <col min="13" max="13" width="11" bestFit="1" customWidth="1"/>
  </cols>
  <sheetData>
    <row r="1" spans="1:13" x14ac:dyDescent="0.25">
      <c r="A1" s="1" t="s">
        <v>0</v>
      </c>
      <c r="B1" s="1" t="s">
        <v>1</v>
      </c>
      <c r="C1" s="1" t="s">
        <v>2</v>
      </c>
      <c r="D1" s="1" t="s">
        <v>3</v>
      </c>
      <c r="E1" s="1" t="s">
        <v>4</v>
      </c>
      <c r="F1" s="1" t="s">
        <v>5</v>
      </c>
      <c r="I1" s="6" t="s">
        <v>190</v>
      </c>
      <c r="K1" s="16" t="s">
        <v>191</v>
      </c>
      <c r="M1" t="s">
        <v>5</v>
      </c>
    </row>
    <row r="2" spans="1:13" x14ac:dyDescent="0.25">
      <c r="A2" s="3" t="s">
        <v>6</v>
      </c>
      <c r="B2" s="3" t="s">
        <v>7</v>
      </c>
      <c r="C2" s="3" t="s">
        <v>8</v>
      </c>
      <c r="D2" s="3">
        <v>1000</v>
      </c>
      <c r="E2" s="3">
        <v>30</v>
      </c>
      <c r="F2" s="3" t="s">
        <v>9</v>
      </c>
      <c r="I2">
        <v>1000</v>
      </c>
      <c r="K2" s="15">
        <v>1000</v>
      </c>
      <c r="M2" t="s">
        <v>9</v>
      </c>
    </row>
    <row r="3" spans="1:13" x14ac:dyDescent="0.25">
      <c r="A3" s="4" t="s">
        <v>10</v>
      </c>
      <c r="B3" s="4" t="s">
        <v>11</v>
      </c>
      <c r="C3" s="4" t="s">
        <v>12</v>
      </c>
      <c r="D3" s="4">
        <v>80</v>
      </c>
      <c r="E3" s="4">
        <v>15</v>
      </c>
      <c r="F3" s="4" t="s">
        <v>13</v>
      </c>
      <c r="I3">
        <v>80</v>
      </c>
      <c r="K3" s="15">
        <v>80</v>
      </c>
      <c r="M3" t="s">
        <v>13</v>
      </c>
    </row>
    <row r="4" spans="1:13" x14ac:dyDescent="0.25">
      <c r="A4" s="3" t="s">
        <v>14</v>
      </c>
      <c r="B4" s="3" t="s">
        <v>15</v>
      </c>
      <c r="C4" s="3" t="s">
        <v>16</v>
      </c>
      <c r="D4" s="3">
        <v>130</v>
      </c>
      <c r="E4" s="3">
        <v>40</v>
      </c>
      <c r="F4" s="3" t="s">
        <v>17</v>
      </c>
      <c r="I4">
        <v>130</v>
      </c>
      <c r="K4" s="15">
        <v>130</v>
      </c>
      <c r="M4" t="s">
        <v>17</v>
      </c>
    </row>
    <row r="5" spans="1:13" x14ac:dyDescent="0.25">
      <c r="A5" s="4" t="s">
        <v>18</v>
      </c>
      <c r="B5" s="4" t="s">
        <v>19</v>
      </c>
      <c r="C5" s="4" t="s">
        <v>20</v>
      </c>
      <c r="D5" s="4">
        <v>900</v>
      </c>
      <c r="E5" s="4">
        <v>25</v>
      </c>
      <c r="F5" s="4" t="s">
        <v>9</v>
      </c>
      <c r="I5">
        <v>900</v>
      </c>
      <c r="K5" s="15">
        <v>900</v>
      </c>
      <c r="M5" t="s">
        <v>9</v>
      </c>
    </row>
    <row r="6" spans="1:13" x14ac:dyDescent="0.25">
      <c r="A6" s="3" t="s">
        <v>21</v>
      </c>
      <c r="B6" s="10" t="s">
        <v>22</v>
      </c>
      <c r="C6" s="3" t="s">
        <v>23</v>
      </c>
      <c r="D6" s="3">
        <v>70</v>
      </c>
      <c r="E6" s="3">
        <v>20</v>
      </c>
      <c r="F6" s="3" t="s">
        <v>24</v>
      </c>
      <c r="I6">
        <v>70</v>
      </c>
      <c r="K6" s="15">
        <v>70</v>
      </c>
      <c r="M6" t="s">
        <v>24</v>
      </c>
    </row>
    <row r="7" spans="1:13" x14ac:dyDescent="0.25">
      <c r="A7" s="4" t="s">
        <v>25</v>
      </c>
      <c r="B7" s="4" t="s">
        <v>26</v>
      </c>
      <c r="C7" s="4" t="s">
        <v>27</v>
      </c>
      <c r="D7" s="4">
        <v>200</v>
      </c>
      <c r="E7" s="4">
        <v>45</v>
      </c>
      <c r="F7" s="4" t="s">
        <v>9</v>
      </c>
      <c r="I7">
        <v>200</v>
      </c>
      <c r="K7" s="15">
        <v>200</v>
      </c>
      <c r="M7" t="s">
        <v>9</v>
      </c>
    </row>
    <row r="8" spans="1:13" x14ac:dyDescent="0.25">
      <c r="A8" s="3" t="s">
        <v>28</v>
      </c>
      <c r="B8" s="3" t="s">
        <v>29</v>
      </c>
      <c r="C8" s="3" t="s">
        <v>30</v>
      </c>
      <c r="D8" s="3">
        <v>30</v>
      </c>
      <c r="E8" s="3">
        <v>5</v>
      </c>
      <c r="F8" s="3" t="s">
        <v>13</v>
      </c>
      <c r="I8">
        <v>30</v>
      </c>
      <c r="K8" s="15">
        <v>30</v>
      </c>
      <c r="M8" t="s">
        <v>13</v>
      </c>
    </row>
    <row r="9" spans="1:13" x14ac:dyDescent="0.25">
      <c r="A9" s="4" t="s">
        <v>31</v>
      </c>
      <c r="B9" s="4" t="s">
        <v>32</v>
      </c>
      <c r="C9" s="4" t="s">
        <v>33</v>
      </c>
      <c r="D9" s="4">
        <v>90</v>
      </c>
      <c r="E9" s="4">
        <v>35</v>
      </c>
      <c r="F9" s="4" t="s">
        <v>17</v>
      </c>
      <c r="I9">
        <v>90</v>
      </c>
      <c r="K9" s="15">
        <v>90</v>
      </c>
      <c r="M9" t="s">
        <v>17</v>
      </c>
    </row>
    <row r="10" spans="1:13" x14ac:dyDescent="0.25">
      <c r="A10" s="3" t="s">
        <v>34</v>
      </c>
      <c r="B10" s="3" t="s">
        <v>35</v>
      </c>
      <c r="C10" s="3" t="s">
        <v>36</v>
      </c>
      <c r="D10" s="3">
        <v>500</v>
      </c>
      <c r="E10" s="3">
        <v>50</v>
      </c>
      <c r="F10" s="3" t="s">
        <v>9</v>
      </c>
      <c r="I10">
        <v>500</v>
      </c>
      <c r="K10" s="15">
        <v>500</v>
      </c>
      <c r="M10" t="s">
        <v>9</v>
      </c>
    </row>
    <row r="11" spans="1:13" x14ac:dyDescent="0.25">
      <c r="A11" s="4" t="s">
        <v>37</v>
      </c>
      <c r="B11" s="8" t="s">
        <v>38</v>
      </c>
      <c r="C11" s="4" t="s">
        <v>39</v>
      </c>
      <c r="D11" s="4">
        <v>130</v>
      </c>
      <c r="E11" s="4">
        <v>10</v>
      </c>
      <c r="F11" s="4" t="s">
        <v>24</v>
      </c>
      <c r="I11">
        <v>130</v>
      </c>
      <c r="K11" s="15">
        <v>130</v>
      </c>
      <c r="M11" t="s">
        <v>24</v>
      </c>
    </row>
    <row r="12" spans="1:13" x14ac:dyDescent="0.25">
      <c r="A12" s="3" t="s">
        <v>40</v>
      </c>
      <c r="B12" s="3" t="s">
        <v>7</v>
      </c>
      <c r="C12" s="3" t="s">
        <v>41</v>
      </c>
      <c r="D12" s="3">
        <v>950</v>
      </c>
      <c r="E12" s="3">
        <v>25</v>
      </c>
      <c r="F12" s="3" t="s">
        <v>9</v>
      </c>
      <c r="I12">
        <v>950</v>
      </c>
      <c r="K12" s="15">
        <v>950</v>
      </c>
      <c r="M12" t="s">
        <v>9</v>
      </c>
    </row>
    <row r="13" spans="1:13" x14ac:dyDescent="0.25">
      <c r="A13" s="4" t="s">
        <v>42</v>
      </c>
      <c r="B13" s="4" t="s">
        <v>11</v>
      </c>
      <c r="C13" s="4" t="s">
        <v>30</v>
      </c>
      <c r="D13" s="4">
        <v>90</v>
      </c>
      <c r="E13" s="4">
        <v>40</v>
      </c>
      <c r="F13" s="4" t="s">
        <v>13</v>
      </c>
      <c r="I13">
        <v>90</v>
      </c>
      <c r="K13" s="15">
        <v>90</v>
      </c>
      <c r="M13" t="s">
        <v>13</v>
      </c>
    </row>
    <row r="14" spans="1:13" x14ac:dyDescent="0.25">
      <c r="A14" s="3" t="s">
        <v>43</v>
      </c>
      <c r="B14" s="3" t="s">
        <v>15</v>
      </c>
      <c r="C14" s="3" t="s">
        <v>44</v>
      </c>
      <c r="D14" s="3">
        <v>120</v>
      </c>
      <c r="E14" s="3">
        <v>35</v>
      </c>
      <c r="F14" s="3" t="s">
        <v>17</v>
      </c>
      <c r="I14">
        <v>120</v>
      </c>
      <c r="K14" s="15">
        <v>120</v>
      </c>
      <c r="M14" t="s">
        <v>17</v>
      </c>
    </row>
    <row r="15" spans="1:13" x14ac:dyDescent="0.25">
      <c r="A15" s="4" t="s">
        <v>45</v>
      </c>
      <c r="B15" s="4" t="s">
        <v>46</v>
      </c>
      <c r="C15" s="4" t="s">
        <v>47</v>
      </c>
      <c r="D15" s="4">
        <v>150</v>
      </c>
      <c r="E15" s="4">
        <v>15</v>
      </c>
      <c r="F15" s="4" t="s">
        <v>9</v>
      </c>
      <c r="I15">
        <v>150</v>
      </c>
      <c r="K15" s="15">
        <v>150</v>
      </c>
      <c r="M15" t="s">
        <v>9</v>
      </c>
    </row>
    <row r="16" spans="1:13" x14ac:dyDescent="0.25">
      <c r="A16" s="3" t="s">
        <v>48</v>
      </c>
      <c r="B16" s="3" t="s">
        <v>26</v>
      </c>
      <c r="C16" s="3" t="s">
        <v>49</v>
      </c>
      <c r="D16" s="3">
        <v>250</v>
      </c>
      <c r="E16" s="3">
        <v>20</v>
      </c>
      <c r="F16" s="3" t="s">
        <v>9</v>
      </c>
      <c r="I16">
        <v>250</v>
      </c>
      <c r="K16" s="15">
        <v>250</v>
      </c>
      <c r="M16" t="s">
        <v>9</v>
      </c>
    </row>
    <row r="17" spans="1:13" x14ac:dyDescent="0.25">
      <c r="A17" s="4" t="s">
        <v>50</v>
      </c>
      <c r="B17" s="4" t="s">
        <v>51</v>
      </c>
      <c r="C17" s="4" t="s">
        <v>52</v>
      </c>
      <c r="D17" s="4">
        <v>50</v>
      </c>
      <c r="E17" s="4">
        <v>35</v>
      </c>
      <c r="F17" s="8" t="s">
        <v>53</v>
      </c>
      <c r="I17">
        <v>50</v>
      </c>
      <c r="K17" s="15">
        <v>50</v>
      </c>
      <c r="M17" t="s">
        <v>53</v>
      </c>
    </row>
    <row r="18" spans="1:13" x14ac:dyDescent="0.25">
      <c r="A18" s="3" t="s">
        <v>54</v>
      </c>
      <c r="B18" s="3" t="s">
        <v>46</v>
      </c>
      <c r="C18" s="3" t="s">
        <v>55</v>
      </c>
      <c r="D18" s="3">
        <v>160</v>
      </c>
      <c r="E18" s="3">
        <v>15</v>
      </c>
      <c r="F18" s="3" t="s">
        <v>9</v>
      </c>
      <c r="I18">
        <v>160</v>
      </c>
      <c r="K18" s="15">
        <v>160</v>
      </c>
      <c r="M18" t="s">
        <v>9</v>
      </c>
    </row>
    <row r="19" spans="1:13" x14ac:dyDescent="0.25">
      <c r="A19" s="4" t="s">
        <v>56</v>
      </c>
      <c r="B19" s="4" t="s">
        <v>7</v>
      </c>
      <c r="C19" s="4" t="s">
        <v>57</v>
      </c>
      <c r="D19" s="4">
        <v>980</v>
      </c>
      <c r="E19" s="4">
        <v>10</v>
      </c>
      <c r="F19" s="4" t="s">
        <v>9</v>
      </c>
      <c r="I19">
        <v>980</v>
      </c>
      <c r="K19" s="15">
        <v>980</v>
      </c>
      <c r="M19" t="s">
        <v>9</v>
      </c>
    </row>
    <row r="20" spans="1:13" x14ac:dyDescent="0.25">
      <c r="A20" s="3" t="s">
        <v>58</v>
      </c>
      <c r="B20" s="3" t="s">
        <v>59</v>
      </c>
      <c r="C20" s="3" t="s">
        <v>60</v>
      </c>
      <c r="D20" s="3">
        <v>150</v>
      </c>
      <c r="E20" s="3">
        <v>15</v>
      </c>
      <c r="F20" s="3" t="s">
        <v>13</v>
      </c>
      <c r="I20">
        <v>150</v>
      </c>
      <c r="K20" s="15">
        <v>150</v>
      </c>
      <c r="M20" t="s">
        <v>13</v>
      </c>
    </row>
    <row r="21" spans="1:13" x14ac:dyDescent="0.25">
      <c r="A21" s="4" t="s">
        <v>61</v>
      </c>
      <c r="B21" s="4" t="s">
        <v>62</v>
      </c>
      <c r="C21" s="4" t="s">
        <v>63</v>
      </c>
      <c r="D21" s="4">
        <v>200</v>
      </c>
      <c r="E21" s="4">
        <v>10</v>
      </c>
      <c r="F21" s="4" t="s">
        <v>24</v>
      </c>
      <c r="I21">
        <v>200</v>
      </c>
      <c r="K21" s="15">
        <v>200</v>
      </c>
      <c r="M21" t="s">
        <v>24</v>
      </c>
    </row>
    <row r="22" spans="1:13" x14ac:dyDescent="0.25">
      <c r="A22" s="3" t="s">
        <v>64</v>
      </c>
      <c r="B22" s="3" t="s">
        <v>65</v>
      </c>
      <c r="C22" s="3" t="s">
        <v>66</v>
      </c>
      <c r="D22" s="3">
        <v>700</v>
      </c>
      <c r="E22" s="3">
        <v>50</v>
      </c>
      <c r="F22" s="3" t="s">
        <v>9</v>
      </c>
      <c r="I22">
        <v>700</v>
      </c>
      <c r="K22" s="15">
        <v>700</v>
      </c>
      <c r="M22" t="s">
        <v>9</v>
      </c>
    </row>
    <row r="23" spans="1:13" x14ac:dyDescent="0.25">
      <c r="A23" s="4" t="s">
        <v>67</v>
      </c>
      <c r="B23" s="4" t="s">
        <v>68</v>
      </c>
      <c r="C23" s="4" t="s">
        <v>69</v>
      </c>
      <c r="D23" s="4">
        <v>80</v>
      </c>
      <c r="E23" s="4">
        <v>20</v>
      </c>
      <c r="F23" s="4" t="s">
        <v>17</v>
      </c>
      <c r="I23">
        <v>80</v>
      </c>
      <c r="K23" s="15">
        <v>80</v>
      </c>
      <c r="M23" t="s">
        <v>17</v>
      </c>
    </row>
    <row r="24" spans="1:13" x14ac:dyDescent="0.25">
      <c r="A24" s="3" t="s">
        <v>70</v>
      </c>
      <c r="B24" s="3" t="s">
        <v>71</v>
      </c>
      <c r="C24" s="3" t="s">
        <v>72</v>
      </c>
      <c r="D24" s="3">
        <v>150</v>
      </c>
      <c r="E24" s="3">
        <v>30</v>
      </c>
      <c r="F24" s="3" t="s">
        <v>9</v>
      </c>
      <c r="I24">
        <v>150</v>
      </c>
      <c r="K24" s="15">
        <v>150</v>
      </c>
      <c r="M24" t="s">
        <v>9</v>
      </c>
    </row>
    <row r="25" spans="1:13" x14ac:dyDescent="0.25">
      <c r="A25" s="4" t="s">
        <v>50</v>
      </c>
      <c r="B25" s="4" t="s">
        <v>51</v>
      </c>
      <c r="C25" s="4" t="s">
        <v>52</v>
      </c>
      <c r="D25" s="4">
        <v>50</v>
      </c>
      <c r="E25" s="4">
        <v>35</v>
      </c>
      <c r="F25" s="8" t="s">
        <v>53</v>
      </c>
      <c r="I25">
        <v>50</v>
      </c>
      <c r="K25" s="15">
        <v>50</v>
      </c>
      <c r="M25" t="s">
        <v>53</v>
      </c>
    </row>
    <row r="26" spans="1:13" x14ac:dyDescent="0.25">
      <c r="A26" s="3" t="s">
        <v>73</v>
      </c>
      <c r="B26" s="3" t="s">
        <v>19</v>
      </c>
      <c r="C26" s="3" t="s">
        <v>74</v>
      </c>
      <c r="D26" s="3">
        <v>800</v>
      </c>
      <c r="E26" s="3">
        <v>45</v>
      </c>
      <c r="F26" s="3" t="s">
        <v>9</v>
      </c>
      <c r="I26">
        <v>800</v>
      </c>
      <c r="K26" s="15">
        <v>800</v>
      </c>
      <c r="M26" t="s">
        <v>9</v>
      </c>
    </row>
    <row r="27" spans="1:13" x14ac:dyDescent="0.25">
      <c r="A27" s="4" t="s">
        <v>75</v>
      </c>
      <c r="B27" s="4" t="s">
        <v>59</v>
      </c>
      <c r="C27" s="4" t="s">
        <v>76</v>
      </c>
      <c r="D27" s="4">
        <v>130</v>
      </c>
      <c r="E27" s="4">
        <v>25</v>
      </c>
      <c r="F27" s="4" t="s">
        <v>13</v>
      </c>
      <c r="I27">
        <v>130</v>
      </c>
      <c r="K27" s="15">
        <v>130</v>
      </c>
      <c r="M27" t="s">
        <v>13</v>
      </c>
    </row>
    <row r="28" spans="1:13" x14ac:dyDescent="0.25">
      <c r="A28" s="3" t="s">
        <v>77</v>
      </c>
      <c r="B28" s="3" t="s">
        <v>32</v>
      </c>
      <c r="C28" s="3" t="s">
        <v>78</v>
      </c>
      <c r="D28" s="3">
        <v>400</v>
      </c>
      <c r="E28" s="3">
        <v>40</v>
      </c>
      <c r="F28" s="3" t="s">
        <v>17</v>
      </c>
      <c r="I28">
        <v>400</v>
      </c>
      <c r="K28" s="15">
        <v>400</v>
      </c>
      <c r="M28" t="s">
        <v>17</v>
      </c>
    </row>
    <row r="29" spans="1:13" x14ac:dyDescent="0.25">
      <c r="A29" s="4" t="s">
        <v>48</v>
      </c>
      <c r="B29" s="4" t="s">
        <v>26</v>
      </c>
      <c r="C29" s="4" t="s">
        <v>49</v>
      </c>
      <c r="D29" s="4">
        <v>230</v>
      </c>
      <c r="E29" s="4">
        <v>20</v>
      </c>
      <c r="F29" s="4" t="s">
        <v>9</v>
      </c>
      <c r="I29">
        <v>230</v>
      </c>
      <c r="K29" s="15">
        <v>230</v>
      </c>
      <c r="M29" t="s">
        <v>9</v>
      </c>
    </row>
    <row r="30" spans="1:13" x14ac:dyDescent="0.25">
      <c r="A30" s="3" t="s">
        <v>79</v>
      </c>
      <c r="B30" s="3" t="s">
        <v>80</v>
      </c>
      <c r="C30" s="3" t="s">
        <v>81</v>
      </c>
      <c r="D30" s="3">
        <v>60</v>
      </c>
      <c r="E30" s="3">
        <v>30</v>
      </c>
      <c r="F30" s="3" t="s">
        <v>13</v>
      </c>
      <c r="I30">
        <v>60</v>
      </c>
      <c r="K30" s="15">
        <v>60</v>
      </c>
      <c r="M30" t="s">
        <v>13</v>
      </c>
    </row>
    <row r="31" spans="1:13" x14ac:dyDescent="0.25">
      <c r="A31" s="4" t="s">
        <v>82</v>
      </c>
      <c r="B31" s="4" t="s">
        <v>83</v>
      </c>
      <c r="C31" s="4" t="s">
        <v>84</v>
      </c>
      <c r="D31" s="4">
        <v>40</v>
      </c>
      <c r="E31" s="4">
        <v>10</v>
      </c>
      <c r="F31" s="4" t="s">
        <v>17</v>
      </c>
      <c r="I31">
        <v>40</v>
      </c>
      <c r="K31" s="15">
        <v>40</v>
      </c>
      <c r="M31" t="s">
        <v>17</v>
      </c>
    </row>
    <row r="32" spans="1:13" x14ac:dyDescent="0.25">
      <c r="A32" s="3" t="s">
        <v>85</v>
      </c>
      <c r="B32" s="3" t="s">
        <v>71</v>
      </c>
      <c r="C32" s="3" t="s">
        <v>86</v>
      </c>
      <c r="D32" s="3">
        <v>130</v>
      </c>
      <c r="E32" s="3">
        <v>5</v>
      </c>
      <c r="F32" s="3" t="s">
        <v>9</v>
      </c>
      <c r="I32">
        <v>130</v>
      </c>
      <c r="K32" s="15">
        <v>130</v>
      </c>
      <c r="M32" t="s">
        <v>9</v>
      </c>
    </row>
    <row r="33" spans="1:13" x14ac:dyDescent="0.25">
      <c r="A33" s="4" t="s">
        <v>87</v>
      </c>
      <c r="B33" s="4" t="s">
        <v>88</v>
      </c>
      <c r="C33" s="4" t="s">
        <v>89</v>
      </c>
      <c r="D33" s="4">
        <v>50</v>
      </c>
      <c r="E33" s="4">
        <v>50</v>
      </c>
      <c r="F33" s="4" t="s">
        <v>13</v>
      </c>
      <c r="I33">
        <v>50</v>
      </c>
      <c r="K33" s="15">
        <v>50</v>
      </c>
      <c r="M33" t="s">
        <v>13</v>
      </c>
    </row>
    <row r="34" spans="1:13" x14ac:dyDescent="0.25">
      <c r="A34" s="3" t="s">
        <v>40</v>
      </c>
      <c r="B34" s="3" t="s">
        <v>7</v>
      </c>
      <c r="C34" s="3" t="s">
        <v>41</v>
      </c>
      <c r="D34" s="3">
        <v>950</v>
      </c>
      <c r="E34" s="3">
        <v>25</v>
      </c>
      <c r="F34" s="3" t="s">
        <v>9</v>
      </c>
      <c r="I34">
        <v>950</v>
      </c>
      <c r="K34" s="15">
        <v>950</v>
      </c>
      <c r="M34" t="s">
        <v>9</v>
      </c>
    </row>
    <row r="35" spans="1:13" x14ac:dyDescent="0.25">
      <c r="A35" s="4" t="s">
        <v>90</v>
      </c>
      <c r="B35" s="4" t="s">
        <v>91</v>
      </c>
      <c r="C35" s="4" t="s">
        <v>92</v>
      </c>
      <c r="D35" s="4">
        <v>100</v>
      </c>
      <c r="E35" s="4">
        <v>20</v>
      </c>
      <c r="F35" s="8" t="s">
        <v>53</v>
      </c>
      <c r="I35">
        <v>100</v>
      </c>
      <c r="K35" s="15">
        <v>100</v>
      </c>
      <c r="M35" t="s">
        <v>53</v>
      </c>
    </row>
    <row r="37" spans="1:13" x14ac:dyDescent="0.25">
      <c r="F37" s="6" t="s">
        <v>109</v>
      </c>
    </row>
    <row r="38" spans="1:13" x14ac:dyDescent="0.25">
      <c r="F38" s="6" t="s">
        <v>192</v>
      </c>
    </row>
    <row r="39" spans="1:13" x14ac:dyDescent="0.25">
      <c r="F39" s="6" t="s">
        <v>194</v>
      </c>
    </row>
  </sheetData>
  <autoFilter ref="K1:K35" xr:uid="{DF8A2E97-D859-4847-941C-32ED06F09C0B}"/>
  <conditionalFormatting sqref="I1:I35">
    <cfRule type="dataBar" priority="3">
      <dataBar>
        <cfvo type="min"/>
        <cfvo type="max"/>
        <color rgb="FF63C384"/>
      </dataBar>
      <extLst>
        <ext xmlns:x14="http://schemas.microsoft.com/office/spreadsheetml/2009/9/main" uri="{B025F937-C7B1-47D3-B67F-A62EFF666E3E}">
          <x14:id>{678491A4-D90D-4057-A31D-22830E88C5E7}</x14:id>
        </ext>
      </extLst>
    </cfRule>
  </conditionalFormatting>
  <conditionalFormatting sqref="K1:K35">
    <cfRule type="containsText" dxfId="1" priority="6" operator="containsText" text="Electronics">
      <formula>NOT(ISERROR(SEARCH(("Electronics"),(K1))))</formula>
    </cfRule>
  </conditionalFormatting>
  <conditionalFormatting sqref="K1:K1048576">
    <cfRule type="colorScale" priority="2">
      <colorScale>
        <cfvo type="min"/>
        <cfvo type="max"/>
        <color rgb="FFFCFCFF"/>
        <color rgb="FF63BE7B"/>
      </colorScale>
    </cfRule>
  </conditionalFormatting>
  <conditionalFormatting sqref="M1:M1048576">
    <cfRule type="containsText" dxfId="0" priority="1" operator="containsText" text="Electronics">
      <formula>NOT(ISERROR(SEARCH("Electronics",M1)))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78491A4-D90D-4057-A31D-22830E88C5E7}">
            <x14:dataBar minLength="0" maxLength="100" border="1" negativeBarBorderColorSameAsPositive="0">
              <x14:cfvo type="autoMin"/>
              <x14:cfvo type="autoMax"/>
              <x14:borderColor rgb="FF63C384"/>
              <x14:negativeFillColor rgb="FFFF0000"/>
              <x14:negativeBorderColor rgb="FFFF0000"/>
              <x14:axisColor rgb="FF000000"/>
            </x14:dataBar>
          </x14:cfRule>
          <xm:sqref>I1:I35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1a.Missing information</vt:lpstr>
      <vt:lpstr>1b. Missing information</vt:lpstr>
      <vt:lpstr>2a.Correcting inconsistent Data</vt:lpstr>
      <vt:lpstr>2b. Find and Replace</vt:lpstr>
      <vt:lpstr>3.Duplicates</vt:lpstr>
      <vt:lpstr>4.Splitting and Merging Data</vt:lpstr>
      <vt:lpstr>5.Number Formatting</vt:lpstr>
      <vt:lpstr>6.Conditional Formatting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Venkatesh M</cp:lastModifiedBy>
  <dcterms:created xsi:type="dcterms:W3CDTF">2026-06-27T06:07:47Z</dcterms:created>
  <dcterms:modified xsi:type="dcterms:W3CDTF">2026-07-01T11:03:04Z</dcterms:modified>
</cp:coreProperties>
</file>